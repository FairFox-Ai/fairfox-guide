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hi\Documents\fairfox\fairfox-guide\Excel\"/>
    </mc:Choice>
  </mc:AlternateContent>
  <xr:revisionPtr revIDLastSave="0" documentId="13_ncr:1_{8442D149-2FAB-4B88-AEFF-E074AE353249}" xr6:coauthVersionLast="47" xr6:coauthVersionMax="47" xr10:uidLastSave="{00000000-0000-0000-0000-000000000000}"/>
  <bookViews>
    <workbookView xWindow="-105" yWindow="0" windowWidth="14610" windowHeight="15585" firstSheet="2" activeTab="4" xr2:uid="{C1E9A0C7-F378-4DA0-9059-34314FE29EC7}"/>
  </bookViews>
  <sheets>
    <sheet name="eu_company_pay_data" sheetId="7" r:id="rId1"/>
    <sheet name="reference_grade" sheetId="3" r:id="rId2"/>
    <sheet name="model_matrix" sheetId="4" r:id="rId3"/>
    <sheet name="regression" sheetId="9" r:id="rId4"/>
    <sheet name="results" sheetId="6" r:id="rId5"/>
  </sheets>
  <definedNames>
    <definedName name="data">#REF!</definedName>
    <definedName name="ExternalData_1" localSheetId="0" hidden="1">eu_company_pay_data!$A$1:$G$501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5" i="6"/>
  <c r="B6" i="6"/>
  <c r="B3" i="6"/>
  <c r="B2" i="6"/>
  <c r="A3" i="4" a="1"/>
  <c r="A3" i="4" s="1"/>
  <c r="J3" i="4" l="1" a="1"/>
  <c r="J3" i="4" s="1"/>
  <c r="G3" i="4" a="1"/>
  <c r="G3" i="4" s="1"/>
  <c r="G2" i="4" a="1"/>
  <c r="G2" i="4" s="1"/>
  <c r="C2" i="4" a="1"/>
  <c r="B3" i="4" a="1"/>
  <c r="B3" i="4" s="1"/>
  <c r="C2" i="3" a="1"/>
  <c r="C2" i="3" s="1"/>
  <c r="B2" i="3" a="1"/>
  <c r="B2" i="3" s="1"/>
  <c r="A2" i="3" a="1"/>
  <c r="A2" i="3" s="1"/>
  <c r="C2" i="4" l="1"/>
  <c r="C3" i="4" a="1"/>
  <c r="C3" i="4" s="1"/>
  <c r="D2" i="3" l="1" a="1"/>
  <c r="D2" i="3" s="1"/>
  <c r="E2" i="3" l="1"/>
  <c r="K2" i="4" s="1" a="1"/>
  <c r="K2" i="4" s="1"/>
  <c r="K3" i="4" l="1" a="1"/>
  <c r="K3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DC46AB-9513-4FAD-B377-C5DC833DD93C}" keepAlive="1" name="Query - eu_company_pay_data" description="Connection to the 'eu_company_pay_data' query in the workbook." type="5" refreshedVersion="8" background="1" saveData="1">
    <dbPr connection="Provider=Microsoft.Mashup.OleDb.1;Data Source=$Workbook$;Location=eu_company_pay_data;Extended Properties=&quot;&quot;" command="SELECT * FROM [eu_company_pay_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<sst xmlns="http://schemas.openxmlformats.org/spreadsheetml/2006/main" count="1556" uniqueCount="550">
  <si>
    <t>Grade</t>
  </si>
  <si>
    <t>Gender</t>
  </si>
  <si>
    <t>Job_Family</t>
  </si>
  <si>
    <t>W001</t>
  </si>
  <si>
    <t>Female</t>
  </si>
  <si>
    <t>Admin</t>
  </si>
  <si>
    <t>W002</t>
  </si>
  <si>
    <t>Male</t>
  </si>
  <si>
    <t>IT</t>
  </si>
  <si>
    <t>W003</t>
  </si>
  <si>
    <t>W004</t>
  </si>
  <si>
    <t>W005</t>
  </si>
  <si>
    <t>W006</t>
  </si>
  <si>
    <t>HR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</si>
  <si>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</si>
  <si>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</si>
  <si>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</si>
  <si>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</si>
  <si>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</si>
  <si>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</si>
  <si>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</si>
  <si>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</si>
  <si>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</si>
  <si>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</si>
  <si>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</si>
  <si>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</si>
  <si>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</si>
  <si>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</si>
  <si>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</si>
  <si>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</si>
  <si>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</si>
  <si>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</si>
  <si>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</si>
  <si>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</si>
  <si>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</si>
  <si>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</si>
  <si>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</si>
  <si>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</si>
  <si>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</si>
  <si>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</si>
  <si>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</si>
  <si>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</si>
  <si>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</si>
  <si>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</si>
  <si>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</si>
  <si>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</si>
  <si>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</si>
  <si>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</si>
  <si>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</si>
  <si>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</si>
  <si>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</si>
  <si>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</si>
  <si>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</si>
  <si>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</si>
  <si>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</si>
  <si>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</si>
  <si>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</si>
  <si>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</si>
  <si>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</si>
  <si>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</si>
  <si>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</si>
  <si>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</si>
  <si>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</si>
  <si>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</si>
  <si>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</si>
  <si>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</si>
  <si>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</si>
  <si>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</si>
  <si>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</si>
  <si>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</si>
  <si>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</si>
  <si>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</si>
  <si>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</si>
  <si>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</si>
  <si>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</si>
  <si>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</si>
  <si>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</si>
  <si>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</si>
  <si>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</si>
  <si>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</si>
  <si>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</si>
  <si>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</si>
  <si>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</si>
  <si>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</si>
  <si>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</si>
  <si>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</si>
  <si>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</si>
  <si>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</si>
  <si>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</si>
  <si>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</si>
  <si>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</si>
  <si>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</si>
  <si>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</si>
  <si>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</si>
  <si>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</si>
  <si>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</si>
  <si>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</si>
  <si>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</si>
  <si>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</si>
  <si>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</si>
  <si>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</si>
  <si>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</si>
  <si>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</si>
  <si>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</si>
  <si>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</si>
  <si>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</si>
  <si>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</si>
  <si>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</si>
  <si>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</si>
  <si>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</si>
  <si>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</si>
  <si>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</si>
  <si>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</si>
  <si>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</si>
  <si>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</si>
  <si>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</si>
  <si>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</si>
  <si>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</si>
  <si>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</si>
  <si>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</si>
  <si>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</si>
  <si>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</si>
  <si>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</si>
  <si>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</si>
  <si>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</si>
  <si>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</si>
  <si>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</si>
  <si>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</si>
  <si>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</si>
  <si>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</si>
  <si>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</si>
  <si>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</si>
  <si>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</si>
  <si>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</si>
  <si>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</si>
  <si>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</si>
  <si>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</si>
  <si>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</si>
  <si>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</si>
  <si>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</si>
  <si>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</si>
  <si>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</si>
  <si>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</si>
  <si>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</si>
  <si>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</si>
  <si>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</si>
  <si>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</si>
  <si>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</si>
  <si>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</si>
  <si>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</si>
  <si>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</si>
  <si>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</si>
  <si>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</si>
  <si>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</si>
  <si>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</si>
  <si>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</si>
  <si>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</si>
  <si>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</si>
  <si>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</si>
  <si>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</si>
  <si>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</si>
  <si>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</si>
  <si>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</si>
  <si>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</si>
  <si>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</si>
  <si>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</si>
  <si>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</si>
  <si>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</si>
  <si>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</si>
  <si>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</si>
  <si>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</si>
  <si>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</si>
  <si>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</si>
  <si>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</si>
  <si>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</si>
  <si>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</si>
  <si>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</si>
  <si>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</si>
  <si>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</si>
  <si>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</si>
  <si>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</si>
  <si>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</si>
  <si>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</si>
  <si>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</si>
  <si>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</si>
  <si>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</si>
  <si>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</si>
  <si>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</si>
  <si>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</si>
  <si>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</si>
  <si>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</si>
  <si>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</si>
  <si>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</si>
  <si>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</si>
  <si>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</si>
  <si>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</si>
  <si>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</si>
  <si>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</si>
  <si>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</si>
  <si>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</si>
  <si>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</si>
  <si>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</si>
  <si>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</si>
  <si>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</si>
  <si>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</si>
  <si>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</si>
  <si>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</si>
  <si>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</si>
  <si>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</si>
  <si>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</si>
  <si>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</si>
  <si>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</si>
  <si>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</si>
  <si>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</si>
  <si>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</si>
  <si>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</si>
  <si>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</si>
  <si>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</si>
  <si>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</si>
  <si>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</si>
  <si>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</si>
  <si>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</si>
  <si>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</si>
  <si>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</si>
  <si>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</si>
  <si>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</si>
  <si>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</si>
  <si>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</si>
  <si>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</si>
  <si>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</si>
  <si>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</si>
  <si>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</si>
  <si>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</si>
  <si>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</si>
  <si>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</si>
  <si>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</si>
  <si>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</si>
  <si>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</si>
  <si>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</si>
  <si>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</si>
  <si>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</si>
  <si>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</si>
  <si>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</si>
  <si>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</si>
  <si>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</si>
  <si>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</si>
  <si>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</si>
  <si>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</si>
  <si>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</si>
  <si>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</si>
  <si>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</si>
  <si>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</si>
  <si>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</si>
  <si>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</si>
  <si>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</si>
  <si>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</si>
  <si>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</si>
  <si>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</si>
  <si>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</si>
  <si>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</si>
  <si>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</si>
  <si>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</si>
  <si>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</si>
  <si>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</si>
  <si>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</si>
  <si>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</si>
  <si>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</si>
  <si>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</si>
  <si>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</si>
  <si>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</si>
  <si>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</si>
  <si>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</si>
  <si>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</si>
  <si>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</si>
  <si>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W267</t>
  </si>
  <si>
    <t>W268</t>
  </si>
  <si>
    <t>W269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</si>
  <si>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</si>
  <si>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</si>
  <si>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</si>
  <si>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</si>
  <si>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</si>
  <si>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</si>
  <si>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</si>
  <si>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</si>
  <si>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</si>
  <si>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</si>
  <si>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W280</t>
  </si>
  <si>
    <t>W281</t>
  </si>
  <si>
    <t>W282</t>
  </si>
  <si>
    <t>W283</t>
  </si>
  <si>
    <t>W284</t>
  </si>
  <si>
    <t>W285</t>
  </si>
  <si>
    <t>W286</t>
  </si>
  <si>
    <t>W287</t>
  </si>
  <si>
    <t>W288</t>
  </si>
  <si>
    <t>W289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</si>
  <si>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</si>
  <si>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</si>
  <si>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</si>
  <si>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</si>
  <si>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</si>
  <si>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</si>
  <si>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</si>
  <si>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</si>
  <si>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</si>
  <si>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</si>
  <si>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W300</t>
  </si>
  <si>
    <t>W301</t>
  </si>
  <si>
    <t>W302</t>
  </si>
  <si>
    <t>W303</t>
  </si>
  <si>
    <t>W304</t>
  </si>
  <si>
    <t>W305</t>
  </si>
  <si>
    <t>W306</t>
  </si>
  <si>
    <t>W307</t>
  </si>
  <si>
    <t>W308</t>
  </si>
  <si>
    <t>W309</t>
  </si>
  <si>
    <t>W310</t>
  </si>
  <si>
    <t>W311</t>
  </si>
  <si>
    <t>W312</t>
  </si>
  <si>
    <t>W313</t>
  </si>
  <si>
    <t>W314</t>
  </si>
  <si>
    <t>W315</t>
  </si>
  <si>
    <t>W316</t>
  </si>
  <si>
    <t>W317</t>
  </si>
  <si>
    <t>W318</t>
  </si>
  <si>
    <t>W319</t>
  </si>
  <si>
    <t>W320</t>
  </si>
  <si>
    <t>W321</t>
  </si>
  <si>
    <t>W322</t>
  </si>
  <si>
    <t>W323</t>
  </si>
  <si>
    <t>W324</t>
  </si>
  <si>
    <t>W325</t>
  </si>
  <si>
    <t>W326</t>
  </si>
  <si>
    <t>W327</t>
  </si>
  <si>
    <t>W328</t>
  </si>
  <si>
    <t>W329</t>
  </si>
  <si>
    <t>W330</t>
  </si>
  <si>
    <t>W331</t>
  </si>
  <si>
    <t>W332</t>
  </si>
  <si>
    <t>W333</t>
  </si>
  <si>
    <t>W334</t>
  </si>
  <si>
    <t>W335</t>
  </si>
  <si>
    <t>W336</t>
  </si>
  <si>
    <t>W337</t>
  </si>
  <si>
    <t>W338</t>
  </si>
  <si>
    <t>W339</t>
  </si>
  <si>
    <t>W340</t>
  </si>
  <si>
    <t>W341</t>
  </si>
  <si>
    <t>W342</t>
  </si>
  <si>
    <t>W343</t>
  </si>
  <si>
    <t>W344</t>
  </si>
  <si>
    <t>W345</t>
  </si>
  <si>
    <t>W346</t>
  </si>
  <si>
    <t>W347</t>
  </si>
  <si>
    <t>W348</t>
  </si>
  <si>
    <t>W349</t>
  </si>
  <si>
    <t>W350</t>
  </si>
  <si>
    <t>W351</t>
  </si>
  <si>
    <t>W352</t>
  </si>
  <si>
    <t>W353</t>
  </si>
  <si>
    <t>W354</t>
  </si>
  <si>
    <t>W355</t>
  </si>
  <si>
    <t>W356</t>
  </si>
  <si>
    <t>W357</t>
  </si>
  <si>
    <t>W358</t>
  </si>
  <si>
    <t>W359</t>
  </si>
  <si>
    <t>W360</t>
  </si>
  <si>
    <t>W361</t>
  </si>
  <si>
    <t>W362</t>
  </si>
  <si>
    <t>W363</t>
  </si>
  <si>
    <t>W364</t>
  </si>
  <si>
    <t>W365</t>
  </si>
  <si>
    <t>W366</t>
  </si>
  <si>
    <t>W367</t>
  </si>
  <si>
    <t>W368</t>
  </si>
  <si>
    <t>W369</t>
  </si>
  <si>
    <t>W370</t>
  </si>
  <si>
    <t>W371</t>
  </si>
  <si>
    <t>W372</t>
  </si>
  <si>
    <t>W373</t>
  </si>
  <si>
    <t>W374</t>
  </si>
  <si>
    <t>W375</t>
  </si>
  <si>
    <t>W376</t>
  </si>
  <si>
    <t>W377</t>
  </si>
  <si>
    <t>W378</t>
  </si>
  <si>
    <t>W379</t>
  </si>
  <si>
    <t>W380</t>
  </si>
  <si>
    <t>W381</t>
  </si>
  <si>
    <t>W382</t>
  </si>
  <si>
    <t>W383</t>
  </si>
  <si>
    <t>W384</t>
  </si>
  <si>
    <t>W385</t>
  </si>
  <si>
    <t>W386</t>
  </si>
  <si>
    <t>W387</t>
  </si>
  <si>
    <t>W388</t>
  </si>
  <si>
    <t>W389</t>
  </si>
  <si>
    <t>W390</t>
  </si>
  <si>
    <t>W391</t>
  </si>
  <si>
    <t>W392</t>
  </si>
  <si>
    <t>W393</t>
  </si>
  <si>
    <t>W394</t>
  </si>
  <si>
    <t>W395</t>
  </si>
  <si>
    <t>W396</t>
  </si>
  <si>
    <t>W397</t>
  </si>
  <si>
    <t>W398</t>
  </si>
  <si>
    <t>W399</t>
  </si>
  <si>
    <t>W400</t>
  </si>
  <si>
    <t>W401</t>
  </si>
  <si>
    <t>W402</t>
  </si>
  <si>
    <t>W403</t>
  </si>
  <si>
    <t>W404</t>
  </si>
  <si>
    <t>W405</t>
  </si>
  <si>
    <t>W406</t>
  </si>
  <si>
    <t>W407</t>
  </si>
  <si>
    <t>W408</t>
  </si>
  <si>
    <t>W409</t>
  </si>
  <si>
    <t>W410</t>
  </si>
  <si>
    <t>W411</t>
  </si>
  <si>
    <t>W412</t>
  </si>
  <si>
    <t>W413</t>
  </si>
  <si>
    <t>W414</t>
  </si>
  <si>
    <t>W415</t>
  </si>
  <si>
    <t>W416</t>
  </si>
  <si>
    <t>W417</t>
  </si>
  <si>
    <t>W418</t>
  </si>
  <si>
    <t>W419</t>
  </si>
  <si>
    <t>W420</t>
  </si>
  <si>
    <t>W421</t>
  </si>
  <si>
    <t>W422</t>
  </si>
  <si>
    <t>W423</t>
  </si>
  <si>
    <t>W424</t>
  </si>
  <si>
    <t>W425</t>
  </si>
  <si>
    <t>W426</t>
  </si>
  <si>
    <t>W427</t>
  </si>
  <si>
    <t>W428</t>
  </si>
  <si>
    <t>W429</t>
  </si>
  <si>
    <t>W430</t>
  </si>
  <si>
    <t>W431</t>
  </si>
  <si>
    <t>W432</t>
  </si>
  <si>
    <t>W433</t>
  </si>
  <si>
    <t>W434</t>
  </si>
  <si>
    <t>W435</t>
  </si>
  <si>
    <t>W436</t>
  </si>
  <si>
    <t>W437</t>
  </si>
  <si>
    <t>W438</t>
  </si>
  <si>
    <t>W439</t>
  </si>
  <si>
    <t>W440</t>
  </si>
  <si>
    <t>W441</t>
  </si>
  <si>
    <t>W442</t>
  </si>
  <si>
    <t>W443</t>
  </si>
  <si>
    <t>W444</t>
  </si>
  <si>
    <t>W445</t>
  </si>
  <si>
    <t>W446</t>
  </si>
  <si>
    <t>W447</t>
  </si>
  <si>
    <t>W448</t>
  </si>
  <si>
    <t>W449</t>
  </si>
  <si>
    <t>W450</t>
  </si>
  <si>
    <t>W451</t>
  </si>
  <si>
    <t>W452</t>
  </si>
  <si>
    <t>W453</t>
  </si>
  <si>
    <t>W454</t>
  </si>
  <si>
    <t>W455</t>
  </si>
  <si>
    <t>W456</t>
  </si>
  <si>
    <t>W457</t>
  </si>
  <si>
    <t>W458</t>
  </si>
  <si>
    <t>W459</t>
  </si>
  <si>
    <t>W460</t>
  </si>
  <si>
    <t>W461</t>
  </si>
  <si>
    <t>W462</t>
  </si>
  <si>
    <t>W463</t>
  </si>
  <si>
    <t>W464</t>
  </si>
  <si>
    <t>W465</t>
  </si>
  <si>
    <t>W466</t>
  </si>
  <si>
    <t>W467</t>
  </si>
  <si>
    <t>W468</t>
  </si>
  <si>
    <t>W469</t>
  </si>
  <si>
    <t>W470</t>
  </si>
  <si>
    <t>W471</t>
  </si>
  <si>
    <t>W472</t>
  </si>
  <si>
    <t>W473</t>
  </si>
  <si>
    <t>W474</t>
  </si>
  <si>
    <t>W475</t>
  </si>
  <si>
    <t>W476</t>
  </si>
  <si>
    <t>W477</t>
  </si>
  <si>
    <t>W478</t>
  </si>
  <si>
    <t>W479</t>
  </si>
  <si>
    <t>W480</t>
  </si>
  <si>
    <t>W481</t>
  </si>
  <si>
    <t>W482</t>
  </si>
  <si>
    <t>W483</t>
  </si>
  <si>
    <t>W484</t>
  </si>
  <si>
    <t>W485</t>
  </si>
  <si>
    <t>W486</t>
  </si>
  <si>
    <t>W487</t>
  </si>
  <si>
    <t>W488</t>
  </si>
  <si>
    <t>W489</t>
  </si>
  <si>
    <t>W490</t>
  </si>
  <si>
    <t>W491</t>
  </si>
  <si>
    <t>W492</t>
  </si>
  <si>
    <t>W493</t>
  </si>
  <si>
    <t>W494</t>
  </si>
  <si>
    <t>W495</t>
  </si>
  <si>
    <t>W496</t>
  </si>
  <si>
    <t>W497</t>
  </si>
  <si>
    <t>W498</t>
  </si>
  <si>
    <t>W499</t>
  </si>
  <si>
    <t>W500</t>
  </si>
  <si>
    <t>Min</t>
  </si>
  <si>
    <t>Reference_Grade</t>
  </si>
  <si>
    <t>Numeric predictors</t>
  </si>
  <si>
    <t>Gender x Grade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</si>
  <si>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</si>
  <si>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</si>
  <si>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</si>
  <si>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</si>
  <si>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</si>
  <si>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</si>
  <si>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</si>
  <si>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</si>
  <si>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</si>
  <si>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</si>
  <si>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</si>
  <si>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</si>
  <si>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</si>
  <si>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</si>
  <si>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</si>
  <si>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</si>
  <si>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</si>
  <si>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</si>
  <si>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</si>
  <si>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</si>
  <si>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</si>
  <si>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</si>
  <si>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</si>
  <si>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</si>
  <si>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Female:1</t>
  </si>
  <si>
    <t>Female:3</t>
  </si>
  <si>
    <t>Female:4</t>
  </si>
  <si>
    <t>Female:5</t>
  </si>
  <si>
    <t>Adjusted Pay Gap</t>
  </si>
  <si>
    <t>Log_Pay</t>
  </si>
  <si>
    <t>employee_id</t>
  </si>
  <si>
    <t>gender</t>
  </si>
  <si>
    <t>grade</t>
  </si>
  <si>
    <t>fte</t>
  </si>
  <si>
    <t>total_pay</t>
  </si>
  <si>
    <t>seniority</t>
  </si>
  <si>
    <t>job_family</t>
  </si>
  <si>
    <t>Seniority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</si>
</sst>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0" fontId="0" fillId="0" borderId="0" xfId="1" applyNumberFormat="1" applyFon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70ECCA-5EFA-4094-8440-ADC868C6AFD0}" autoFormatId="16" applyNumberFormats="0" applyBorderFormats="0" applyFontFormats="0" applyPatternFormats="0" applyAlignmentFormats="0" applyWidthHeightFormats="0">
  <queryTableRefresh nextId="8">
    <queryTableFields count="7">
      <queryTableField id="1" name="employee_id" tableColumnId="1"/>
      <queryTableField id="2" name="gender" tableColumnId="2"/>
      <queryTableField id="3" name="grade" tableColumnId="3"/>
      <queryTableField id="4" name="fte" tableColumnId="4"/>
      <queryTableField id="5" name="total_pay" tableColumnId="5"/>
      <queryTableField id="6" name="seniority" tableColumnId="6"/>
      <queryTableField id="7" name="job_famil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623072-0082-4FBF-B870-F6A57E9992DB}" name="eu_company_pay_data" displayName="eu_company_pay_data" ref="A1:G501" tableType="queryTable" totalsRowShown="0">
  <autoFilter ref="A1:G501" xr:uid="{CE623072-0082-4FBF-B870-F6A57E9992DB}"/>
  <tableColumns count="7">
    <tableColumn id="1" xr3:uid="{B34F441F-EF73-4218-B683-6CB6818E21CB}" uniqueName="1" name="employee_id" queryTableFieldId="1" dataDxfId="2"/>
    <tableColumn id="2" xr3:uid="{CBA34D59-6DA4-4202-BBA0-60787B67B673}" uniqueName="2" name="gender" queryTableFieldId="2" dataDxfId="1"/>
    <tableColumn id="3" xr3:uid="{25F1C754-AB7E-44F0-B89F-28B6EA70D331}" uniqueName="3" name="grade" queryTableFieldId="3"/>
    <tableColumn id="4" xr3:uid="{3A0CACD8-1215-418C-A7C0-A6A03B07A6BB}" uniqueName="4" name="fte" queryTableFieldId="4"/>
    <tableColumn id="5" xr3:uid="{CD3097FB-8243-4D52-BAAF-CDCCDA4BB346}" uniqueName="5" name="total_pay" queryTableFieldId="5"/>
    <tableColumn id="6" xr3:uid="{FB901A29-7022-49C5-AFCA-C43530FD89BC}" uniqueName="6" name="seniority" queryTableFieldId="6"/>
    <tableColumn id="7" xr3:uid="{E5BAB5EA-DAE5-418B-B198-D0784AA1E47D}" uniqueName="7" name="job_family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E3C5-DA66-4603-B646-26468B479510}">
  <dimension ref="A1:G501"/>
  <sheetViews>
    <sheetView workbookViewId="0">
      <selection activeCell="A32" sqref="A32"/>
    </sheetView>
  </sheetViews>
  <sheetFormatPr defaultRowHeight="15" x14ac:dyDescent="0.25"/>
  <cols>
    <col min="1" max="7" width="17.7109375" customWidth="1"/>
  </cols>
  <sheetData>
    <row r="1" spans="1:7" x14ac:dyDescent="0.25">
      <c r="A1" t="s">
        <v>542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 s="5" t="s">
        <v>3</v>
      </c>
      <c r="B2" s="5" t="s">
        <v>7</v>
      </c>
      <c r="C2">
        <v>2</v>
      </c>
      <c r="D2">
        <v>1</v>
      </c>
      <c r="E2">
        <v>27098</v>
      </c>
      <c r="F2">
        <v>14</v>
      </c>
      <c r="G2" s="5" t="s">
        <v>8</v>
      </c>
    </row>
    <row r="3" spans="1:7" x14ac:dyDescent="0.25">
      <c r="A3" s="5" t="s">
        <v>6</v>
      </c>
      <c r="B3" s="5" t="s">
        <v>7</v>
      </c>
      <c r="C3">
        <v>3</v>
      </c>
      <c r="D3">
        <v>1</v>
      </c>
      <c r="E3">
        <v>13223</v>
      </c>
      <c r="F3">
        <v>110</v>
      </c>
      <c r="G3" s="5" t="s">
        <v>5</v>
      </c>
    </row>
    <row r="4" spans="1:7" x14ac:dyDescent="0.25">
      <c r="A4" s="5" t="s">
        <v>9</v>
      </c>
      <c r="B4" s="5" t="s">
        <v>4</v>
      </c>
      <c r="C4">
        <v>2</v>
      </c>
      <c r="D4">
        <v>1</v>
      </c>
      <c r="E4">
        <v>25301</v>
      </c>
      <c r="F4">
        <v>115</v>
      </c>
      <c r="G4" s="5" t="s">
        <v>13</v>
      </c>
    </row>
    <row r="5" spans="1:7" x14ac:dyDescent="0.25">
      <c r="A5" s="5" t="s">
        <v>10</v>
      </c>
      <c r="B5" s="5" t="s">
        <v>4</v>
      </c>
      <c r="C5">
        <v>2</v>
      </c>
      <c r="D5">
        <v>1</v>
      </c>
      <c r="E5">
        <v>79470</v>
      </c>
      <c r="F5">
        <v>79</v>
      </c>
      <c r="G5" s="5" t="s">
        <v>8</v>
      </c>
    </row>
    <row r="6" spans="1:7" x14ac:dyDescent="0.25">
      <c r="A6" s="5" t="s">
        <v>11</v>
      </c>
      <c r="B6" s="5" t="s">
        <v>7</v>
      </c>
      <c r="C6">
        <v>2</v>
      </c>
      <c r="D6">
        <v>1</v>
      </c>
      <c r="E6">
        <v>24632</v>
      </c>
      <c r="F6">
        <v>36</v>
      </c>
      <c r="G6" s="5" t="s">
        <v>13</v>
      </c>
    </row>
    <row r="7" spans="1:7" x14ac:dyDescent="0.25">
      <c r="A7" s="5" t="s">
        <v>12</v>
      </c>
      <c r="B7" s="5" t="s">
        <v>7</v>
      </c>
      <c r="C7">
        <v>5</v>
      </c>
      <c r="D7">
        <v>1</v>
      </c>
      <c r="E7">
        <v>25413</v>
      </c>
      <c r="F7">
        <v>62</v>
      </c>
      <c r="G7" s="5" t="s">
        <v>5</v>
      </c>
    </row>
    <row r="8" spans="1:7" x14ac:dyDescent="0.25">
      <c r="A8" s="5" t="s">
        <v>14</v>
      </c>
      <c r="B8" s="5" t="s">
        <v>7</v>
      </c>
      <c r="C8">
        <v>2</v>
      </c>
      <c r="D8">
        <v>1</v>
      </c>
      <c r="E8">
        <v>9003</v>
      </c>
      <c r="F8">
        <v>31</v>
      </c>
      <c r="G8" s="5" t="s">
        <v>8</v>
      </c>
    </row>
    <row r="9" spans="1:7" x14ac:dyDescent="0.25">
      <c r="A9" s="5" t="s">
        <v>15</v>
      </c>
      <c r="B9" s="5" t="s">
        <v>7</v>
      </c>
      <c r="C9">
        <v>1</v>
      </c>
      <c r="D9">
        <v>1</v>
      </c>
      <c r="E9">
        <v>25193</v>
      </c>
      <c r="F9">
        <v>7</v>
      </c>
      <c r="G9" s="5" t="s">
        <v>5</v>
      </c>
    </row>
    <row r="10" spans="1:7" x14ac:dyDescent="0.25">
      <c r="A10" s="5" t="s">
        <v>16</v>
      </c>
      <c r="B10" s="5" t="s">
        <v>7</v>
      </c>
      <c r="C10">
        <v>2</v>
      </c>
      <c r="D10">
        <v>1</v>
      </c>
      <c r="E10">
        <v>25898</v>
      </c>
      <c r="F10">
        <v>88</v>
      </c>
      <c r="G10" s="5" t="s">
        <v>8</v>
      </c>
    </row>
    <row r="11" spans="1:7" x14ac:dyDescent="0.25">
      <c r="A11" s="5" t="s">
        <v>17</v>
      </c>
      <c r="B11" s="5" t="s">
        <v>7</v>
      </c>
      <c r="C11">
        <v>3</v>
      </c>
      <c r="D11">
        <v>1</v>
      </c>
      <c r="E11">
        <v>12289</v>
      </c>
      <c r="F11">
        <v>67</v>
      </c>
      <c r="G11" s="5" t="s">
        <v>8</v>
      </c>
    </row>
    <row r="12" spans="1:7" x14ac:dyDescent="0.25">
      <c r="A12" s="5" t="s">
        <v>18</v>
      </c>
      <c r="B12" s="5" t="s">
        <v>4</v>
      </c>
      <c r="C12">
        <v>1</v>
      </c>
      <c r="D12">
        <v>1</v>
      </c>
      <c r="E12">
        <v>26100</v>
      </c>
      <c r="F12">
        <v>49</v>
      </c>
      <c r="G12" s="5" t="s">
        <v>13</v>
      </c>
    </row>
    <row r="13" spans="1:7" x14ac:dyDescent="0.25">
      <c r="A13" s="5" t="s">
        <v>19</v>
      </c>
      <c r="B13" s="5" t="s">
        <v>7</v>
      </c>
      <c r="C13">
        <v>3</v>
      </c>
      <c r="D13">
        <v>1</v>
      </c>
      <c r="E13">
        <v>50267</v>
      </c>
      <c r="F13">
        <v>118</v>
      </c>
      <c r="G13" s="5" t="s">
        <v>8</v>
      </c>
    </row>
    <row r="14" spans="1:7" x14ac:dyDescent="0.25">
      <c r="A14" s="5" t="s">
        <v>20</v>
      </c>
      <c r="B14" s="5" t="s">
        <v>4</v>
      </c>
      <c r="C14">
        <v>3</v>
      </c>
      <c r="D14">
        <v>1</v>
      </c>
      <c r="E14">
        <v>49148</v>
      </c>
      <c r="F14">
        <v>56</v>
      </c>
      <c r="G14" s="5" t="s">
        <v>8</v>
      </c>
    </row>
    <row r="15" spans="1:7" x14ac:dyDescent="0.25">
      <c r="A15" s="5" t="s">
        <v>21</v>
      </c>
      <c r="B15" s="5" t="s">
        <v>7</v>
      </c>
      <c r="C15">
        <v>3</v>
      </c>
      <c r="D15">
        <v>1</v>
      </c>
      <c r="E15">
        <v>25642</v>
      </c>
      <c r="F15">
        <v>83</v>
      </c>
      <c r="G15" s="5" t="s">
        <v>5</v>
      </c>
    </row>
    <row r="16" spans="1:7" x14ac:dyDescent="0.25">
      <c r="A16" s="5" t="s">
        <v>22</v>
      </c>
      <c r="B16" s="5" t="s">
        <v>7</v>
      </c>
      <c r="C16">
        <v>3</v>
      </c>
      <c r="D16">
        <v>1</v>
      </c>
      <c r="E16">
        <v>11205</v>
      </c>
      <c r="F16">
        <v>89</v>
      </c>
      <c r="G16" s="5" t="s">
        <v>5</v>
      </c>
    </row>
    <row r="17" spans="1:7" x14ac:dyDescent="0.25">
      <c r="A17" s="5" t="s">
        <v>23</v>
      </c>
      <c r="B17" s="5" t="s">
        <v>4</v>
      </c>
      <c r="C17">
        <v>2</v>
      </c>
      <c r="D17">
        <v>1</v>
      </c>
      <c r="E17">
        <v>9492</v>
      </c>
      <c r="F17">
        <v>14</v>
      </c>
      <c r="G17" s="5" t="s">
        <v>8</v>
      </c>
    </row>
    <row r="18" spans="1:7" x14ac:dyDescent="0.25">
      <c r="A18" s="5" t="s">
        <v>24</v>
      </c>
      <c r="B18" s="5" t="s">
        <v>4</v>
      </c>
      <c r="C18">
        <v>2</v>
      </c>
      <c r="D18">
        <v>1</v>
      </c>
      <c r="E18">
        <v>11245</v>
      </c>
      <c r="F18">
        <v>64</v>
      </c>
      <c r="G18" s="5" t="s">
        <v>8</v>
      </c>
    </row>
    <row r="19" spans="1:7" x14ac:dyDescent="0.25">
      <c r="A19" s="5" t="s">
        <v>25</v>
      </c>
      <c r="B19" s="5" t="s">
        <v>7</v>
      </c>
      <c r="C19">
        <v>3</v>
      </c>
      <c r="D19">
        <v>1</v>
      </c>
      <c r="E19">
        <v>10569</v>
      </c>
      <c r="F19">
        <v>95</v>
      </c>
      <c r="G19" s="5" t="s">
        <v>5</v>
      </c>
    </row>
    <row r="20" spans="1:7" x14ac:dyDescent="0.25">
      <c r="A20" s="5" t="s">
        <v>26</v>
      </c>
      <c r="B20" s="5" t="s">
        <v>7</v>
      </c>
      <c r="C20">
        <v>2</v>
      </c>
      <c r="D20">
        <v>1</v>
      </c>
      <c r="E20">
        <v>23527</v>
      </c>
      <c r="F20">
        <v>75</v>
      </c>
      <c r="G20" s="5" t="s">
        <v>5</v>
      </c>
    </row>
    <row r="21" spans="1:7" x14ac:dyDescent="0.25">
      <c r="A21" s="5" t="s">
        <v>27</v>
      </c>
      <c r="B21" s="5" t="s">
        <v>7</v>
      </c>
      <c r="C21">
        <v>2</v>
      </c>
      <c r="D21">
        <v>1</v>
      </c>
      <c r="E21">
        <v>24980</v>
      </c>
      <c r="F21">
        <v>59</v>
      </c>
      <c r="G21" s="5" t="s">
        <v>8</v>
      </c>
    </row>
    <row r="22" spans="1:7" x14ac:dyDescent="0.25">
      <c r="A22" s="5" t="s">
        <v>28</v>
      </c>
      <c r="B22" s="5" t="s">
        <v>7</v>
      </c>
      <c r="C22">
        <v>1</v>
      </c>
      <c r="D22">
        <v>1</v>
      </c>
      <c r="E22">
        <v>8127</v>
      </c>
      <c r="F22">
        <v>84</v>
      </c>
      <c r="G22" s="5" t="s">
        <v>8</v>
      </c>
    </row>
    <row r="23" spans="1:7" x14ac:dyDescent="0.25">
      <c r="A23" s="5" t="s">
        <v>29</v>
      </c>
      <c r="B23" s="5" t="s">
        <v>7</v>
      </c>
      <c r="C23">
        <v>4</v>
      </c>
      <c r="D23">
        <v>1</v>
      </c>
      <c r="E23">
        <v>26598</v>
      </c>
      <c r="F23">
        <v>21</v>
      </c>
      <c r="G23" s="5" t="s">
        <v>5</v>
      </c>
    </row>
    <row r="24" spans="1:7" x14ac:dyDescent="0.25">
      <c r="A24" s="5" t="s">
        <v>30</v>
      </c>
      <c r="B24" s="5" t="s">
        <v>4</v>
      </c>
      <c r="C24">
        <v>3</v>
      </c>
      <c r="D24">
        <v>1</v>
      </c>
      <c r="E24">
        <v>8371</v>
      </c>
      <c r="F24">
        <v>83</v>
      </c>
      <c r="G24" s="5" t="s">
        <v>5</v>
      </c>
    </row>
    <row r="25" spans="1:7" x14ac:dyDescent="0.25">
      <c r="A25" s="5" t="s">
        <v>31</v>
      </c>
      <c r="B25" s="5" t="s">
        <v>7</v>
      </c>
      <c r="C25">
        <v>2</v>
      </c>
      <c r="D25">
        <v>1</v>
      </c>
      <c r="E25">
        <v>27474</v>
      </c>
      <c r="F25">
        <v>53</v>
      </c>
      <c r="G25" s="5" t="s">
        <v>5</v>
      </c>
    </row>
    <row r="26" spans="1:7" x14ac:dyDescent="0.25">
      <c r="A26" s="5" t="s">
        <v>32</v>
      </c>
      <c r="B26" s="5" t="s">
        <v>7</v>
      </c>
      <c r="C26">
        <v>1</v>
      </c>
      <c r="D26">
        <v>1</v>
      </c>
      <c r="E26">
        <v>50566</v>
      </c>
      <c r="F26">
        <v>77</v>
      </c>
      <c r="G26" s="5" t="s">
        <v>5</v>
      </c>
    </row>
    <row r="27" spans="1:7" x14ac:dyDescent="0.25">
      <c r="A27" s="5" t="s">
        <v>33</v>
      </c>
      <c r="B27" s="5" t="s">
        <v>7</v>
      </c>
      <c r="C27">
        <v>2</v>
      </c>
      <c r="D27">
        <v>1</v>
      </c>
      <c r="E27">
        <v>24171</v>
      </c>
      <c r="F27">
        <v>3</v>
      </c>
      <c r="G27" s="5" t="s">
        <v>8</v>
      </c>
    </row>
    <row r="28" spans="1:7" x14ac:dyDescent="0.25">
      <c r="A28" s="5" t="s">
        <v>34</v>
      </c>
      <c r="B28" s="5" t="s">
        <v>7</v>
      </c>
      <c r="C28">
        <v>2</v>
      </c>
      <c r="D28">
        <v>1</v>
      </c>
      <c r="E28">
        <v>50101</v>
      </c>
      <c r="F28">
        <v>24</v>
      </c>
      <c r="G28" s="5" t="s">
        <v>8</v>
      </c>
    </row>
    <row r="29" spans="1:7" x14ac:dyDescent="0.25">
      <c r="A29" s="5" t="s">
        <v>35</v>
      </c>
      <c r="B29" s="5" t="s">
        <v>7</v>
      </c>
      <c r="C29">
        <v>2</v>
      </c>
      <c r="D29">
        <v>1</v>
      </c>
      <c r="E29">
        <v>79563</v>
      </c>
      <c r="F29">
        <v>38</v>
      </c>
      <c r="G29" s="5" t="s">
        <v>5</v>
      </c>
    </row>
    <row r="30" spans="1:7" x14ac:dyDescent="0.25">
      <c r="A30" s="5" t="s">
        <v>36</v>
      </c>
      <c r="B30" s="5" t="s">
        <v>7</v>
      </c>
      <c r="C30">
        <v>2</v>
      </c>
      <c r="D30">
        <v>1</v>
      </c>
      <c r="E30">
        <v>24819</v>
      </c>
      <c r="F30">
        <v>105</v>
      </c>
      <c r="G30" s="5" t="s">
        <v>13</v>
      </c>
    </row>
    <row r="31" spans="1:7" x14ac:dyDescent="0.25">
      <c r="A31" s="5" t="s">
        <v>37</v>
      </c>
      <c r="B31" s="5" t="s">
        <v>4</v>
      </c>
      <c r="C31">
        <v>2</v>
      </c>
      <c r="D31">
        <v>1</v>
      </c>
      <c r="E31">
        <v>24847</v>
      </c>
      <c r="F31">
        <v>1</v>
      </c>
      <c r="G31" s="5" t="s">
        <v>5</v>
      </c>
    </row>
    <row r="32" spans="1:7" x14ac:dyDescent="0.25">
      <c r="A32" s="5" t="s">
        <v>38</v>
      </c>
      <c r="B32" s="5" t="s">
        <v>7</v>
      </c>
      <c r="C32">
        <v>2</v>
      </c>
      <c r="D32">
        <v>1</v>
      </c>
      <c r="E32">
        <v>48273</v>
      </c>
      <c r="F32">
        <v>33</v>
      </c>
      <c r="G32" s="5" t="s">
        <v>13</v>
      </c>
    </row>
    <row r="33" spans="1:7" x14ac:dyDescent="0.25">
      <c r="A33" s="5" t="s">
        <v>39</v>
      </c>
      <c r="B33" s="5" t="s">
        <v>4</v>
      </c>
      <c r="C33">
        <v>1</v>
      </c>
      <c r="D33">
        <v>1</v>
      </c>
      <c r="E33">
        <v>79268</v>
      </c>
      <c r="F33">
        <v>89</v>
      </c>
      <c r="G33" s="5" t="s">
        <v>13</v>
      </c>
    </row>
    <row r="34" spans="1:7" x14ac:dyDescent="0.25">
      <c r="A34" s="5" t="s">
        <v>40</v>
      </c>
      <c r="B34" s="5" t="s">
        <v>4</v>
      </c>
      <c r="C34">
        <v>2</v>
      </c>
      <c r="D34">
        <v>1</v>
      </c>
      <c r="E34">
        <v>11387</v>
      </c>
      <c r="F34">
        <v>107</v>
      </c>
      <c r="G34" s="5" t="s">
        <v>5</v>
      </c>
    </row>
    <row r="35" spans="1:7" x14ac:dyDescent="0.25">
      <c r="A35" s="5" t="s">
        <v>41</v>
      </c>
      <c r="B35" s="5" t="s">
        <v>4</v>
      </c>
      <c r="C35">
        <v>2</v>
      </c>
      <c r="D35">
        <v>1</v>
      </c>
      <c r="E35">
        <v>48589</v>
      </c>
      <c r="F35">
        <v>60</v>
      </c>
      <c r="G35" s="5" t="s">
        <v>13</v>
      </c>
    </row>
    <row r="36" spans="1:7" x14ac:dyDescent="0.25">
      <c r="A36" s="5" t="s">
        <v>42</v>
      </c>
      <c r="B36" s="5" t="s">
        <v>7</v>
      </c>
      <c r="C36">
        <v>3</v>
      </c>
      <c r="D36">
        <v>1</v>
      </c>
      <c r="E36">
        <v>51475</v>
      </c>
      <c r="F36">
        <v>28</v>
      </c>
      <c r="G36" s="5" t="s">
        <v>8</v>
      </c>
    </row>
    <row r="37" spans="1:7" x14ac:dyDescent="0.25">
      <c r="A37" s="5" t="s">
        <v>43</v>
      </c>
      <c r="B37" s="5" t="s">
        <v>4</v>
      </c>
      <c r="C37">
        <v>2</v>
      </c>
      <c r="D37">
        <v>1</v>
      </c>
      <c r="E37">
        <v>51537</v>
      </c>
      <c r="F37">
        <v>15</v>
      </c>
      <c r="G37" s="5" t="s">
        <v>13</v>
      </c>
    </row>
    <row r="38" spans="1:7" x14ac:dyDescent="0.25">
      <c r="A38" s="5" t="s">
        <v>44</v>
      </c>
      <c r="B38" s="5" t="s">
        <v>4</v>
      </c>
      <c r="C38">
        <v>1</v>
      </c>
      <c r="D38">
        <v>1</v>
      </c>
      <c r="E38">
        <v>12441</v>
      </c>
      <c r="F38">
        <v>39</v>
      </c>
      <c r="G38" s="5" t="s">
        <v>8</v>
      </c>
    </row>
    <row r="39" spans="1:7" x14ac:dyDescent="0.25">
      <c r="A39" s="5" t="s">
        <v>45</v>
      </c>
      <c r="B39" s="5" t="s">
        <v>4</v>
      </c>
      <c r="C39">
        <v>3</v>
      </c>
      <c r="D39">
        <v>1</v>
      </c>
      <c r="E39">
        <v>24403</v>
      </c>
      <c r="F39">
        <v>2</v>
      </c>
      <c r="G39" s="5" t="s">
        <v>8</v>
      </c>
    </row>
    <row r="40" spans="1:7" x14ac:dyDescent="0.25">
      <c r="A40" s="5" t="s">
        <v>46</v>
      </c>
      <c r="B40" s="5" t="s">
        <v>7</v>
      </c>
      <c r="C40">
        <v>1</v>
      </c>
      <c r="D40">
        <v>1</v>
      </c>
      <c r="E40">
        <v>25569</v>
      </c>
      <c r="F40">
        <v>94</v>
      </c>
      <c r="G40" s="5" t="s">
        <v>13</v>
      </c>
    </row>
    <row r="41" spans="1:7" x14ac:dyDescent="0.25">
      <c r="A41" s="5" t="s">
        <v>47</v>
      </c>
      <c r="B41" s="5" t="s">
        <v>7</v>
      </c>
      <c r="C41">
        <v>3</v>
      </c>
      <c r="D41">
        <v>1</v>
      </c>
      <c r="E41">
        <v>48731</v>
      </c>
      <c r="F41">
        <v>49</v>
      </c>
      <c r="G41" s="5" t="s">
        <v>5</v>
      </c>
    </row>
    <row r="42" spans="1:7" x14ac:dyDescent="0.25">
      <c r="A42" s="5" t="s">
        <v>48</v>
      </c>
      <c r="B42" s="5" t="s">
        <v>4</v>
      </c>
      <c r="C42">
        <v>3</v>
      </c>
      <c r="D42">
        <v>1</v>
      </c>
      <c r="E42">
        <v>24744</v>
      </c>
      <c r="F42">
        <v>102</v>
      </c>
      <c r="G42" s="5" t="s">
        <v>5</v>
      </c>
    </row>
    <row r="43" spans="1:7" x14ac:dyDescent="0.25">
      <c r="A43" s="5" t="s">
        <v>49</v>
      </c>
      <c r="B43" s="5" t="s">
        <v>4</v>
      </c>
      <c r="C43">
        <v>2</v>
      </c>
      <c r="D43">
        <v>1</v>
      </c>
      <c r="E43">
        <v>25223</v>
      </c>
      <c r="F43">
        <v>59</v>
      </c>
      <c r="G43" s="5" t="s">
        <v>13</v>
      </c>
    </row>
    <row r="44" spans="1:7" x14ac:dyDescent="0.25">
      <c r="A44" s="5" t="s">
        <v>50</v>
      </c>
      <c r="B44" s="5" t="s">
        <v>7</v>
      </c>
      <c r="C44">
        <v>3</v>
      </c>
      <c r="D44">
        <v>1</v>
      </c>
      <c r="E44">
        <v>25959</v>
      </c>
      <c r="F44">
        <v>98</v>
      </c>
      <c r="G44" s="5" t="s">
        <v>5</v>
      </c>
    </row>
    <row r="45" spans="1:7" x14ac:dyDescent="0.25">
      <c r="A45" s="5" t="s">
        <v>51</v>
      </c>
      <c r="B45" s="5" t="s">
        <v>7</v>
      </c>
      <c r="C45">
        <v>4</v>
      </c>
      <c r="D45">
        <v>1</v>
      </c>
      <c r="E45">
        <v>25546</v>
      </c>
      <c r="F45">
        <v>108</v>
      </c>
      <c r="G45" s="5" t="s">
        <v>8</v>
      </c>
    </row>
    <row r="46" spans="1:7" x14ac:dyDescent="0.25">
      <c r="A46" s="5" t="s">
        <v>52</v>
      </c>
      <c r="B46" s="5" t="s">
        <v>4</v>
      </c>
      <c r="C46">
        <v>2</v>
      </c>
      <c r="D46">
        <v>1</v>
      </c>
      <c r="E46">
        <v>24168</v>
      </c>
      <c r="F46">
        <v>47</v>
      </c>
      <c r="G46" s="5" t="s">
        <v>8</v>
      </c>
    </row>
    <row r="47" spans="1:7" x14ac:dyDescent="0.25">
      <c r="A47" s="5" t="s">
        <v>53</v>
      </c>
      <c r="B47" s="5" t="s">
        <v>4</v>
      </c>
      <c r="C47">
        <v>1</v>
      </c>
      <c r="D47">
        <v>1</v>
      </c>
      <c r="E47">
        <v>27578</v>
      </c>
      <c r="F47">
        <v>68</v>
      </c>
      <c r="G47" s="5" t="s">
        <v>13</v>
      </c>
    </row>
    <row r="48" spans="1:7" x14ac:dyDescent="0.25">
      <c r="A48" s="5" t="s">
        <v>54</v>
      </c>
      <c r="B48" s="5" t="s">
        <v>7</v>
      </c>
      <c r="C48">
        <v>2</v>
      </c>
      <c r="D48">
        <v>1</v>
      </c>
      <c r="E48">
        <v>80709</v>
      </c>
      <c r="F48">
        <v>54</v>
      </c>
      <c r="G48" s="5" t="s">
        <v>13</v>
      </c>
    </row>
    <row r="49" spans="1:7" x14ac:dyDescent="0.25">
      <c r="A49" s="5" t="s">
        <v>55</v>
      </c>
      <c r="B49" s="5" t="s">
        <v>4</v>
      </c>
      <c r="C49">
        <v>1</v>
      </c>
      <c r="D49">
        <v>1</v>
      </c>
      <c r="E49">
        <v>49484</v>
      </c>
      <c r="F49">
        <v>22</v>
      </c>
      <c r="G49" s="5" t="s">
        <v>5</v>
      </c>
    </row>
    <row r="50" spans="1:7" x14ac:dyDescent="0.25">
      <c r="A50" s="5" t="s">
        <v>56</v>
      </c>
      <c r="B50" s="5" t="s">
        <v>7</v>
      </c>
      <c r="C50">
        <v>1</v>
      </c>
      <c r="D50">
        <v>1</v>
      </c>
      <c r="E50">
        <v>50679</v>
      </c>
      <c r="F50">
        <v>26</v>
      </c>
      <c r="G50" s="5" t="s">
        <v>13</v>
      </c>
    </row>
    <row r="51" spans="1:7" x14ac:dyDescent="0.25">
      <c r="A51" s="5" t="s">
        <v>57</v>
      </c>
      <c r="B51" s="5" t="s">
        <v>4</v>
      </c>
      <c r="C51">
        <v>1</v>
      </c>
      <c r="D51">
        <v>1</v>
      </c>
      <c r="E51">
        <v>11207</v>
      </c>
      <c r="F51">
        <v>41</v>
      </c>
      <c r="G51" s="5" t="s">
        <v>13</v>
      </c>
    </row>
    <row r="52" spans="1:7" x14ac:dyDescent="0.25">
      <c r="A52" s="5" t="s">
        <v>58</v>
      </c>
      <c r="B52" s="5" t="s">
        <v>4</v>
      </c>
      <c r="C52">
        <v>4</v>
      </c>
      <c r="D52">
        <v>1</v>
      </c>
      <c r="E52">
        <v>8731</v>
      </c>
      <c r="F52">
        <v>102</v>
      </c>
      <c r="G52" s="5" t="s">
        <v>5</v>
      </c>
    </row>
    <row r="53" spans="1:7" x14ac:dyDescent="0.25">
      <c r="A53" s="5" t="s">
        <v>59</v>
      </c>
      <c r="B53" s="5" t="s">
        <v>7</v>
      </c>
      <c r="C53">
        <v>3</v>
      </c>
      <c r="D53">
        <v>1</v>
      </c>
      <c r="E53">
        <v>23281</v>
      </c>
      <c r="F53">
        <v>83</v>
      </c>
      <c r="G53" s="5" t="s">
        <v>8</v>
      </c>
    </row>
    <row r="54" spans="1:7" x14ac:dyDescent="0.25">
      <c r="A54" s="5" t="s">
        <v>60</v>
      </c>
      <c r="B54" s="5" t="s">
        <v>7</v>
      </c>
      <c r="C54">
        <v>3</v>
      </c>
      <c r="D54">
        <v>1</v>
      </c>
      <c r="E54">
        <v>23629</v>
      </c>
      <c r="F54">
        <v>65</v>
      </c>
      <c r="G54" s="5" t="s">
        <v>5</v>
      </c>
    </row>
    <row r="55" spans="1:7" x14ac:dyDescent="0.25">
      <c r="A55" s="5" t="s">
        <v>61</v>
      </c>
      <c r="B55" s="5" t="s">
        <v>7</v>
      </c>
      <c r="C55">
        <v>3</v>
      </c>
      <c r="D55">
        <v>1</v>
      </c>
      <c r="E55">
        <v>49898</v>
      </c>
      <c r="F55">
        <v>32</v>
      </c>
      <c r="G55" s="5" t="s">
        <v>8</v>
      </c>
    </row>
    <row r="56" spans="1:7" x14ac:dyDescent="0.25">
      <c r="A56" s="5" t="s">
        <v>62</v>
      </c>
      <c r="B56" s="5" t="s">
        <v>4</v>
      </c>
      <c r="C56">
        <v>1</v>
      </c>
      <c r="D56">
        <v>1</v>
      </c>
      <c r="E56">
        <v>24767</v>
      </c>
      <c r="F56">
        <v>63</v>
      </c>
      <c r="G56" s="5" t="s">
        <v>5</v>
      </c>
    </row>
    <row r="57" spans="1:7" x14ac:dyDescent="0.25">
      <c r="A57" s="5" t="s">
        <v>63</v>
      </c>
      <c r="B57" s="5" t="s">
        <v>7</v>
      </c>
      <c r="C57">
        <v>2</v>
      </c>
      <c r="D57">
        <v>1</v>
      </c>
      <c r="E57">
        <v>11521</v>
      </c>
      <c r="F57">
        <v>88</v>
      </c>
      <c r="G57" s="5" t="s">
        <v>5</v>
      </c>
    </row>
    <row r="58" spans="1:7" x14ac:dyDescent="0.25">
      <c r="A58" s="5" t="s">
        <v>64</v>
      </c>
      <c r="B58" s="5" t="s">
        <v>7</v>
      </c>
      <c r="C58">
        <v>4</v>
      </c>
      <c r="D58">
        <v>1</v>
      </c>
      <c r="E58">
        <v>51327</v>
      </c>
      <c r="F58">
        <v>60</v>
      </c>
      <c r="G58" s="5" t="s">
        <v>13</v>
      </c>
    </row>
    <row r="59" spans="1:7" x14ac:dyDescent="0.25">
      <c r="A59" s="5" t="s">
        <v>65</v>
      </c>
      <c r="B59" s="5" t="s">
        <v>7</v>
      </c>
      <c r="C59">
        <v>3</v>
      </c>
      <c r="D59">
        <v>1</v>
      </c>
      <c r="E59">
        <v>49954</v>
      </c>
      <c r="F59">
        <v>67</v>
      </c>
      <c r="G59" s="5" t="s">
        <v>8</v>
      </c>
    </row>
    <row r="60" spans="1:7" x14ac:dyDescent="0.25">
      <c r="A60" s="5" t="s">
        <v>66</v>
      </c>
      <c r="B60" s="5" t="s">
        <v>7</v>
      </c>
      <c r="C60">
        <v>2</v>
      </c>
      <c r="D60">
        <v>1</v>
      </c>
      <c r="E60">
        <v>49852</v>
      </c>
      <c r="F60">
        <v>51</v>
      </c>
      <c r="G60" s="5" t="s">
        <v>8</v>
      </c>
    </row>
    <row r="61" spans="1:7" x14ac:dyDescent="0.25">
      <c r="A61" s="5" t="s">
        <v>67</v>
      </c>
      <c r="B61" s="5" t="s">
        <v>7</v>
      </c>
      <c r="C61">
        <v>3</v>
      </c>
      <c r="D61">
        <v>1</v>
      </c>
      <c r="E61">
        <v>49906</v>
      </c>
      <c r="F61">
        <v>64</v>
      </c>
      <c r="G61" s="5" t="s">
        <v>13</v>
      </c>
    </row>
    <row r="62" spans="1:7" x14ac:dyDescent="0.25">
      <c r="A62" s="5" t="s">
        <v>68</v>
      </c>
      <c r="B62" s="5" t="s">
        <v>7</v>
      </c>
      <c r="C62">
        <v>2</v>
      </c>
      <c r="D62">
        <v>1</v>
      </c>
      <c r="E62">
        <v>9465</v>
      </c>
      <c r="F62">
        <v>5</v>
      </c>
      <c r="G62" s="5" t="s">
        <v>8</v>
      </c>
    </row>
    <row r="63" spans="1:7" x14ac:dyDescent="0.25">
      <c r="A63" s="5" t="s">
        <v>69</v>
      </c>
      <c r="B63" s="5" t="s">
        <v>4</v>
      </c>
      <c r="C63">
        <v>1</v>
      </c>
      <c r="D63">
        <v>1</v>
      </c>
      <c r="E63">
        <v>49665</v>
      </c>
      <c r="F63">
        <v>99</v>
      </c>
      <c r="G63" s="5" t="s">
        <v>13</v>
      </c>
    </row>
    <row r="64" spans="1:7" x14ac:dyDescent="0.25">
      <c r="A64" s="5" t="s">
        <v>70</v>
      </c>
      <c r="B64" s="5" t="s">
        <v>7</v>
      </c>
      <c r="C64">
        <v>1</v>
      </c>
      <c r="D64">
        <v>1</v>
      </c>
      <c r="E64">
        <v>50081</v>
      </c>
      <c r="F64">
        <v>58</v>
      </c>
      <c r="G64" s="5" t="s">
        <v>13</v>
      </c>
    </row>
    <row r="65" spans="1:7" x14ac:dyDescent="0.25">
      <c r="A65" s="5" t="s">
        <v>71</v>
      </c>
      <c r="B65" s="5" t="s">
        <v>4</v>
      </c>
      <c r="C65">
        <v>1</v>
      </c>
      <c r="D65">
        <v>1</v>
      </c>
      <c r="E65">
        <v>10044</v>
      </c>
      <c r="F65">
        <v>9</v>
      </c>
      <c r="G65" s="5" t="s">
        <v>8</v>
      </c>
    </row>
    <row r="66" spans="1:7" x14ac:dyDescent="0.25">
      <c r="A66" s="5" t="s">
        <v>72</v>
      </c>
      <c r="B66" s="5" t="s">
        <v>7</v>
      </c>
      <c r="C66">
        <v>3</v>
      </c>
      <c r="D66">
        <v>1</v>
      </c>
      <c r="E66">
        <v>8923</v>
      </c>
      <c r="F66">
        <v>89</v>
      </c>
      <c r="G66" s="5" t="s">
        <v>13</v>
      </c>
    </row>
    <row r="67" spans="1:7" x14ac:dyDescent="0.25">
      <c r="A67" s="5" t="s">
        <v>73</v>
      </c>
      <c r="B67" s="5" t="s">
        <v>4</v>
      </c>
      <c r="C67">
        <v>3</v>
      </c>
      <c r="D67">
        <v>1</v>
      </c>
      <c r="E67">
        <v>51694</v>
      </c>
      <c r="F67">
        <v>61</v>
      </c>
      <c r="G67" s="5" t="s">
        <v>5</v>
      </c>
    </row>
    <row r="68" spans="1:7" x14ac:dyDescent="0.25">
      <c r="A68" s="5" t="s">
        <v>74</v>
      </c>
      <c r="B68" s="5" t="s">
        <v>7</v>
      </c>
      <c r="C68">
        <v>2</v>
      </c>
      <c r="D68">
        <v>1</v>
      </c>
      <c r="E68">
        <v>9015</v>
      </c>
      <c r="F68">
        <v>54</v>
      </c>
      <c r="G68" s="5" t="s">
        <v>8</v>
      </c>
    </row>
    <row r="69" spans="1:7" x14ac:dyDescent="0.25">
      <c r="A69" s="5" t="s">
        <v>75</v>
      </c>
      <c r="B69" s="5" t="s">
        <v>4</v>
      </c>
      <c r="C69">
        <v>3</v>
      </c>
      <c r="D69">
        <v>1</v>
      </c>
      <c r="E69">
        <v>10082</v>
      </c>
      <c r="F69">
        <v>64</v>
      </c>
      <c r="G69" s="5" t="s">
        <v>13</v>
      </c>
    </row>
    <row r="70" spans="1:7" x14ac:dyDescent="0.25">
      <c r="A70" s="5" t="s">
        <v>76</v>
      </c>
      <c r="B70" s="5" t="s">
        <v>4</v>
      </c>
      <c r="C70">
        <v>2</v>
      </c>
      <c r="D70">
        <v>1</v>
      </c>
      <c r="E70">
        <v>25486</v>
      </c>
      <c r="F70">
        <v>115</v>
      </c>
      <c r="G70" s="5" t="s">
        <v>13</v>
      </c>
    </row>
    <row r="71" spans="1:7" x14ac:dyDescent="0.25">
      <c r="A71" s="5" t="s">
        <v>77</v>
      </c>
      <c r="B71" s="5" t="s">
        <v>7</v>
      </c>
      <c r="C71">
        <v>1</v>
      </c>
      <c r="D71">
        <v>1</v>
      </c>
      <c r="E71">
        <v>23910</v>
      </c>
      <c r="F71">
        <v>5</v>
      </c>
      <c r="G71" s="5" t="s">
        <v>8</v>
      </c>
    </row>
    <row r="72" spans="1:7" x14ac:dyDescent="0.25">
      <c r="A72" s="5" t="s">
        <v>78</v>
      </c>
      <c r="B72" s="5" t="s">
        <v>4</v>
      </c>
      <c r="C72">
        <v>3</v>
      </c>
      <c r="D72">
        <v>1</v>
      </c>
      <c r="E72">
        <v>51106</v>
      </c>
      <c r="F72">
        <v>97</v>
      </c>
      <c r="G72" s="5" t="s">
        <v>13</v>
      </c>
    </row>
    <row r="73" spans="1:7" x14ac:dyDescent="0.25">
      <c r="A73" s="5" t="s">
        <v>79</v>
      </c>
      <c r="B73" s="5" t="s">
        <v>7</v>
      </c>
      <c r="C73">
        <v>1</v>
      </c>
      <c r="D73">
        <v>1</v>
      </c>
      <c r="E73">
        <v>10641</v>
      </c>
      <c r="F73">
        <v>73</v>
      </c>
      <c r="G73" s="5" t="s">
        <v>8</v>
      </c>
    </row>
    <row r="74" spans="1:7" x14ac:dyDescent="0.25">
      <c r="A74" s="5" t="s">
        <v>80</v>
      </c>
      <c r="B74" s="5" t="s">
        <v>7</v>
      </c>
      <c r="C74">
        <v>3</v>
      </c>
      <c r="D74">
        <v>1</v>
      </c>
      <c r="E74">
        <v>24593</v>
      </c>
      <c r="F74">
        <v>15</v>
      </c>
      <c r="G74" s="5" t="s">
        <v>5</v>
      </c>
    </row>
    <row r="75" spans="1:7" x14ac:dyDescent="0.25">
      <c r="A75" s="5" t="s">
        <v>81</v>
      </c>
      <c r="B75" s="5" t="s">
        <v>4</v>
      </c>
      <c r="C75">
        <v>1</v>
      </c>
      <c r="D75">
        <v>1</v>
      </c>
      <c r="E75">
        <v>80583</v>
      </c>
      <c r="F75">
        <v>18</v>
      </c>
      <c r="G75" s="5" t="s">
        <v>8</v>
      </c>
    </row>
    <row r="76" spans="1:7" x14ac:dyDescent="0.25">
      <c r="A76" s="5" t="s">
        <v>82</v>
      </c>
      <c r="B76" s="5" t="s">
        <v>7</v>
      </c>
      <c r="C76">
        <v>1</v>
      </c>
      <c r="D76">
        <v>1</v>
      </c>
      <c r="E76">
        <v>25627</v>
      </c>
      <c r="F76">
        <v>89</v>
      </c>
      <c r="G76" s="5" t="s">
        <v>8</v>
      </c>
    </row>
    <row r="77" spans="1:7" x14ac:dyDescent="0.25">
      <c r="A77" s="5" t="s">
        <v>83</v>
      </c>
      <c r="B77" s="5" t="s">
        <v>7</v>
      </c>
      <c r="C77">
        <v>3</v>
      </c>
      <c r="D77">
        <v>1</v>
      </c>
      <c r="E77">
        <v>12161</v>
      </c>
      <c r="F77">
        <v>94</v>
      </c>
      <c r="G77" s="5" t="s">
        <v>13</v>
      </c>
    </row>
    <row r="78" spans="1:7" x14ac:dyDescent="0.25">
      <c r="A78" s="5" t="s">
        <v>84</v>
      </c>
      <c r="B78" s="5" t="s">
        <v>7</v>
      </c>
      <c r="C78">
        <v>2</v>
      </c>
      <c r="D78">
        <v>1</v>
      </c>
      <c r="E78">
        <v>10272</v>
      </c>
      <c r="F78">
        <v>43</v>
      </c>
      <c r="G78" s="5" t="s">
        <v>8</v>
      </c>
    </row>
    <row r="79" spans="1:7" x14ac:dyDescent="0.25">
      <c r="A79" s="5" t="s">
        <v>85</v>
      </c>
      <c r="B79" s="5" t="s">
        <v>4</v>
      </c>
      <c r="C79">
        <v>3</v>
      </c>
      <c r="D79">
        <v>1</v>
      </c>
      <c r="E79">
        <v>49603</v>
      </c>
      <c r="F79">
        <v>87</v>
      </c>
      <c r="G79" s="5" t="s">
        <v>5</v>
      </c>
    </row>
    <row r="80" spans="1:7" x14ac:dyDescent="0.25">
      <c r="A80" s="5" t="s">
        <v>86</v>
      </c>
      <c r="B80" s="5" t="s">
        <v>7</v>
      </c>
      <c r="C80">
        <v>2</v>
      </c>
      <c r="D80">
        <v>1</v>
      </c>
      <c r="E80">
        <v>10490</v>
      </c>
      <c r="F80">
        <v>7</v>
      </c>
      <c r="G80" s="5" t="s">
        <v>5</v>
      </c>
    </row>
    <row r="81" spans="1:7" x14ac:dyDescent="0.25">
      <c r="A81" s="5" t="s">
        <v>87</v>
      </c>
      <c r="B81" s="5" t="s">
        <v>4</v>
      </c>
      <c r="C81">
        <v>3</v>
      </c>
      <c r="D81">
        <v>1</v>
      </c>
      <c r="E81">
        <v>25216</v>
      </c>
      <c r="F81">
        <v>19</v>
      </c>
      <c r="G81" s="5" t="s">
        <v>8</v>
      </c>
    </row>
    <row r="82" spans="1:7" x14ac:dyDescent="0.25">
      <c r="A82" s="5" t="s">
        <v>88</v>
      </c>
      <c r="B82" s="5" t="s">
        <v>7</v>
      </c>
      <c r="C82">
        <v>2</v>
      </c>
      <c r="D82">
        <v>1</v>
      </c>
      <c r="E82">
        <v>25249</v>
      </c>
      <c r="F82">
        <v>76</v>
      </c>
      <c r="G82" s="5" t="s">
        <v>5</v>
      </c>
    </row>
    <row r="83" spans="1:7" x14ac:dyDescent="0.25">
      <c r="A83" s="5" t="s">
        <v>89</v>
      </c>
      <c r="B83" s="5" t="s">
        <v>7</v>
      </c>
      <c r="C83">
        <v>3</v>
      </c>
      <c r="D83">
        <v>1</v>
      </c>
      <c r="E83">
        <v>51472</v>
      </c>
      <c r="F83">
        <v>41</v>
      </c>
      <c r="G83" s="5" t="s">
        <v>5</v>
      </c>
    </row>
    <row r="84" spans="1:7" x14ac:dyDescent="0.25">
      <c r="A84" s="5" t="s">
        <v>90</v>
      </c>
      <c r="B84" s="5" t="s">
        <v>7</v>
      </c>
      <c r="C84">
        <v>3</v>
      </c>
      <c r="D84">
        <v>1</v>
      </c>
      <c r="E84">
        <v>7461</v>
      </c>
      <c r="F84">
        <v>104</v>
      </c>
      <c r="G84" s="5" t="s">
        <v>13</v>
      </c>
    </row>
    <row r="85" spans="1:7" x14ac:dyDescent="0.25">
      <c r="A85" s="5" t="s">
        <v>91</v>
      </c>
      <c r="B85" s="5" t="s">
        <v>4</v>
      </c>
      <c r="C85">
        <v>3</v>
      </c>
      <c r="D85">
        <v>1</v>
      </c>
      <c r="E85">
        <v>23296</v>
      </c>
      <c r="F85">
        <v>96</v>
      </c>
      <c r="G85" s="5" t="s">
        <v>8</v>
      </c>
    </row>
    <row r="86" spans="1:7" x14ac:dyDescent="0.25">
      <c r="A86" s="5" t="s">
        <v>92</v>
      </c>
      <c r="B86" s="5" t="s">
        <v>7</v>
      </c>
      <c r="C86">
        <v>2</v>
      </c>
      <c r="D86">
        <v>1</v>
      </c>
      <c r="E86">
        <v>51124</v>
      </c>
      <c r="F86">
        <v>94</v>
      </c>
      <c r="G86" s="5" t="s">
        <v>8</v>
      </c>
    </row>
    <row r="87" spans="1:7" x14ac:dyDescent="0.25">
      <c r="A87" s="5" t="s">
        <v>93</v>
      </c>
      <c r="B87" s="5" t="s">
        <v>4</v>
      </c>
      <c r="C87">
        <v>1</v>
      </c>
      <c r="D87">
        <v>1</v>
      </c>
      <c r="E87">
        <v>10467</v>
      </c>
      <c r="F87">
        <v>4</v>
      </c>
      <c r="G87" s="5" t="s">
        <v>8</v>
      </c>
    </row>
    <row r="88" spans="1:7" x14ac:dyDescent="0.25">
      <c r="A88" s="5" t="s">
        <v>94</v>
      </c>
      <c r="B88" s="5" t="s">
        <v>7</v>
      </c>
      <c r="C88">
        <v>2</v>
      </c>
      <c r="D88">
        <v>1</v>
      </c>
      <c r="E88">
        <v>50604</v>
      </c>
      <c r="F88">
        <v>59</v>
      </c>
      <c r="G88" s="5" t="s">
        <v>5</v>
      </c>
    </row>
    <row r="89" spans="1:7" x14ac:dyDescent="0.25">
      <c r="A89" s="5" t="s">
        <v>95</v>
      </c>
      <c r="B89" s="5" t="s">
        <v>4</v>
      </c>
      <c r="C89">
        <v>3</v>
      </c>
      <c r="D89">
        <v>1</v>
      </c>
      <c r="E89">
        <v>24034</v>
      </c>
      <c r="F89">
        <v>103</v>
      </c>
      <c r="G89" s="5" t="s">
        <v>5</v>
      </c>
    </row>
    <row r="90" spans="1:7" x14ac:dyDescent="0.25">
      <c r="A90" s="5" t="s">
        <v>96</v>
      </c>
      <c r="B90" s="5" t="s">
        <v>7</v>
      </c>
      <c r="C90">
        <v>3</v>
      </c>
      <c r="D90">
        <v>1</v>
      </c>
      <c r="E90">
        <v>10293</v>
      </c>
      <c r="F90">
        <v>82</v>
      </c>
      <c r="G90" s="5" t="s">
        <v>8</v>
      </c>
    </row>
    <row r="91" spans="1:7" x14ac:dyDescent="0.25">
      <c r="A91" s="5" t="s">
        <v>97</v>
      </c>
      <c r="B91" s="5" t="s">
        <v>7</v>
      </c>
      <c r="C91">
        <v>2</v>
      </c>
      <c r="D91">
        <v>1</v>
      </c>
      <c r="E91">
        <v>50997</v>
      </c>
      <c r="F91">
        <v>110</v>
      </c>
      <c r="G91" s="5" t="s">
        <v>5</v>
      </c>
    </row>
    <row r="92" spans="1:7" x14ac:dyDescent="0.25">
      <c r="A92" s="5" t="s">
        <v>98</v>
      </c>
      <c r="B92" s="5" t="s">
        <v>4</v>
      </c>
      <c r="C92">
        <v>4</v>
      </c>
      <c r="D92">
        <v>1</v>
      </c>
      <c r="E92">
        <v>48844</v>
      </c>
      <c r="F92">
        <v>107</v>
      </c>
      <c r="G92" s="5" t="s">
        <v>5</v>
      </c>
    </row>
    <row r="93" spans="1:7" x14ac:dyDescent="0.25">
      <c r="A93" s="5" t="s">
        <v>99</v>
      </c>
      <c r="B93" s="5" t="s">
        <v>7</v>
      </c>
      <c r="C93">
        <v>1</v>
      </c>
      <c r="D93">
        <v>1</v>
      </c>
      <c r="E93">
        <v>26361</v>
      </c>
      <c r="F93">
        <v>53</v>
      </c>
      <c r="G93" s="5" t="s">
        <v>13</v>
      </c>
    </row>
    <row r="94" spans="1:7" x14ac:dyDescent="0.25">
      <c r="A94" s="5" t="s">
        <v>100</v>
      </c>
      <c r="B94" s="5" t="s">
        <v>4</v>
      </c>
      <c r="C94">
        <v>1</v>
      </c>
      <c r="D94">
        <v>1</v>
      </c>
      <c r="E94">
        <v>26020</v>
      </c>
      <c r="F94">
        <v>69</v>
      </c>
      <c r="G94" s="5" t="s">
        <v>5</v>
      </c>
    </row>
    <row r="95" spans="1:7" x14ac:dyDescent="0.25">
      <c r="A95" s="5" t="s">
        <v>101</v>
      </c>
      <c r="B95" s="5" t="s">
        <v>7</v>
      </c>
      <c r="C95">
        <v>2</v>
      </c>
      <c r="D95">
        <v>1</v>
      </c>
      <c r="E95">
        <v>27124</v>
      </c>
      <c r="F95">
        <v>109</v>
      </c>
      <c r="G95" s="5" t="s">
        <v>5</v>
      </c>
    </row>
    <row r="96" spans="1:7" x14ac:dyDescent="0.25">
      <c r="A96" s="5" t="s">
        <v>102</v>
      </c>
      <c r="B96" s="5" t="s">
        <v>4</v>
      </c>
      <c r="C96">
        <v>1</v>
      </c>
      <c r="D96">
        <v>1</v>
      </c>
      <c r="E96">
        <v>27581</v>
      </c>
      <c r="F96">
        <v>36</v>
      </c>
      <c r="G96" s="5" t="s">
        <v>8</v>
      </c>
    </row>
    <row r="97" spans="1:7" x14ac:dyDescent="0.25">
      <c r="A97" s="5" t="s">
        <v>103</v>
      </c>
      <c r="B97" s="5" t="s">
        <v>7</v>
      </c>
      <c r="C97">
        <v>4</v>
      </c>
      <c r="D97">
        <v>1</v>
      </c>
      <c r="E97">
        <v>25661</v>
      </c>
      <c r="F97">
        <v>63</v>
      </c>
      <c r="G97" s="5" t="s">
        <v>8</v>
      </c>
    </row>
    <row r="98" spans="1:7" x14ac:dyDescent="0.25">
      <c r="A98" s="5" t="s">
        <v>104</v>
      </c>
      <c r="B98" s="5" t="s">
        <v>7</v>
      </c>
      <c r="C98">
        <v>1</v>
      </c>
      <c r="D98">
        <v>1</v>
      </c>
      <c r="E98">
        <v>81100</v>
      </c>
      <c r="F98">
        <v>58</v>
      </c>
      <c r="G98" s="5" t="s">
        <v>8</v>
      </c>
    </row>
    <row r="99" spans="1:7" x14ac:dyDescent="0.25">
      <c r="A99" s="5" t="s">
        <v>105</v>
      </c>
      <c r="B99" s="5" t="s">
        <v>7</v>
      </c>
      <c r="C99">
        <v>2</v>
      </c>
      <c r="D99">
        <v>1</v>
      </c>
      <c r="E99">
        <v>25541</v>
      </c>
      <c r="F99">
        <v>41</v>
      </c>
      <c r="G99" s="5" t="s">
        <v>13</v>
      </c>
    </row>
    <row r="100" spans="1:7" x14ac:dyDescent="0.25">
      <c r="A100" s="5" t="s">
        <v>106</v>
      </c>
      <c r="B100" s="5" t="s">
        <v>4</v>
      </c>
      <c r="C100">
        <v>1</v>
      </c>
      <c r="D100">
        <v>1</v>
      </c>
      <c r="E100">
        <v>50496</v>
      </c>
      <c r="F100">
        <v>91</v>
      </c>
      <c r="G100" s="5" t="s">
        <v>13</v>
      </c>
    </row>
    <row r="101" spans="1:7" x14ac:dyDescent="0.25">
      <c r="A101" s="5" t="s">
        <v>107</v>
      </c>
      <c r="B101" s="5" t="s">
        <v>7</v>
      </c>
      <c r="C101">
        <v>4</v>
      </c>
      <c r="D101">
        <v>1</v>
      </c>
      <c r="E101">
        <v>27258</v>
      </c>
      <c r="F101">
        <v>46</v>
      </c>
      <c r="G101" s="5" t="s">
        <v>5</v>
      </c>
    </row>
    <row r="102" spans="1:7" x14ac:dyDescent="0.25">
      <c r="A102" s="5" t="s">
        <v>108</v>
      </c>
      <c r="B102" s="5" t="s">
        <v>7</v>
      </c>
      <c r="C102">
        <v>2</v>
      </c>
      <c r="D102">
        <v>1</v>
      </c>
      <c r="E102">
        <v>25075</v>
      </c>
      <c r="F102">
        <v>116</v>
      </c>
      <c r="G102" s="5" t="s">
        <v>13</v>
      </c>
    </row>
    <row r="103" spans="1:7" x14ac:dyDescent="0.25">
      <c r="A103" s="5" t="s">
        <v>109</v>
      </c>
      <c r="B103" s="5" t="s">
        <v>7</v>
      </c>
      <c r="C103">
        <v>1</v>
      </c>
      <c r="D103">
        <v>1</v>
      </c>
      <c r="E103">
        <v>80871</v>
      </c>
      <c r="F103">
        <v>35</v>
      </c>
      <c r="G103" s="5" t="s">
        <v>5</v>
      </c>
    </row>
    <row r="104" spans="1:7" x14ac:dyDescent="0.25">
      <c r="A104" s="5" t="s">
        <v>110</v>
      </c>
      <c r="B104" s="5" t="s">
        <v>7</v>
      </c>
      <c r="C104">
        <v>1</v>
      </c>
      <c r="D104">
        <v>1</v>
      </c>
      <c r="E104">
        <v>23761</v>
      </c>
      <c r="F104">
        <v>66</v>
      </c>
      <c r="G104" s="5" t="s">
        <v>13</v>
      </c>
    </row>
    <row r="105" spans="1:7" x14ac:dyDescent="0.25">
      <c r="A105" s="5" t="s">
        <v>111</v>
      </c>
      <c r="B105" s="5" t="s">
        <v>7</v>
      </c>
      <c r="C105">
        <v>2</v>
      </c>
      <c r="D105">
        <v>1</v>
      </c>
      <c r="E105">
        <v>7649</v>
      </c>
      <c r="F105">
        <v>95</v>
      </c>
      <c r="G105" s="5" t="s">
        <v>8</v>
      </c>
    </row>
    <row r="106" spans="1:7" x14ac:dyDescent="0.25">
      <c r="A106" s="5" t="s">
        <v>112</v>
      </c>
      <c r="B106" s="5" t="s">
        <v>4</v>
      </c>
      <c r="C106">
        <v>3</v>
      </c>
      <c r="D106">
        <v>1</v>
      </c>
      <c r="E106">
        <v>9713</v>
      </c>
      <c r="F106">
        <v>16</v>
      </c>
      <c r="G106" s="5" t="s">
        <v>8</v>
      </c>
    </row>
    <row r="107" spans="1:7" x14ac:dyDescent="0.25">
      <c r="A107" s="5" t="s">
        <v>113</v>
      </c>
      <c r="B107" s="5" t="s">
        <v>7</v>
      </c>
      <c r="C107">
        <v>2</v>
      </c>
      <c r="D107">
        <v>1</v>
      </c>
      <c r="E107">
        <v>50581</v>
      </c>
      <c r="F107">
        <v>98</v>
      </c>
      <c r="G107" s="5" t="s">
        <v>8</v>
      </c>
    </row>
    <row r="108" spans="1:7" x14ac:dyDescent="0.25">
      <c r="A108" s="5" t="s">
        <v>114</v>
      </c>
      <c r="B108" s="5" t="s">
        <v>7</v>
      </c>
      <c r="C108">
        <v>2</v>
      </c>
      <c r="D108">
        <v>1</v>
      </c>
      <c r="E108">
        <v>24713</v>
      </c>
      <c r="F108">
        <v>86</v>
      </c>
      <c r="G108" s="5" t="s">
        <v>5</v>
      </c>
    </row>
    <row r="109" spans="1:7" x14ac:dyDescent="0.25">
      <c r="A109" s="5" t="s">
        <v>115</v>
      </c>
      <c r="B109" s="5" t="s">
        <v>4</v>
      </c>
      <c r="C109">
        <v>4</v>
      </c>
      <c r="D109">
        <v>1</v>
      </c>
      <c r="E109">
        <v>50784</v>
      </c>
      <c r="F109">
        <v>56</v>
      </c>
      <c r="G109" s="5" t="s">
        <v>5</v>
      </c>
    </row>
    <row r="110" spans="1:7" x14ac:dyDescent="0.25">
      <c r="A110" s="5" t="s">
        <v>116</v>
      </c>
      <c r="B110" s="5" t="s">
        <v>7</v>
      </c>
      <c r="C110">
        <v>2</v>
      </c>
      <c r="D110">
        <v>1</v>
      </c>
      <c r="E110">
        <v>8950</v>
      </c>
      <c r="F110">
        <v>18</v>
      </c>
      <c r="G110" s="5" t="s">
        <v>5</v>
      </c>
    </row>
    <row r="111" spans="1:7" x14ac:dyDescent="0.25">
      <c r="A111" s="5" t="s">
        <v>117</v>
      </c>
      <c r="B111" s="5" t="s">
        <v>7</v>
      </c>
      <c r="C111">
        <v>3</v>
      </c>
      <c r="D111">
        <v>1</v>
      </c>
      <c r="E111">
        <v>49225</v>
      </c>
      <c r="F111">
        <v>48</v>
      </c>
      <c r="G111" s="5" t="s">
        <v>8</v>
      </c>
    </row>
    <row r="112" spans="1:7" x14ac:dyDescent="0.25">
      <c r="A112" s="5" t="s">
        <v>118</v>
      </c>
      <c r="B112" s="5" t="s">
        <v>4</v>
      </c>
      <c r="C112">
        <v>3</v>
      </c>
      <c r="D112">
        <v>1</v>
      </c>
      <c r="E112">
        <v>48815</v>
      </c>
      <c r="F112">
        <v>103</v>
      </c>
      <c r="G112" s="5" t="s">
        <v>8</v>
      </c>
    </row>
    <row r="113" spans="1:7" x14ac:dyDescent="0.25">
      <c r="A113" s="5" t="s">
        <v>119</v>
      </c>
      <c r="B113" s="5" t="s">
        <v>4</v>
      </c>
      <c r="C113">
        <v>2</v>
      </c>
      <c r="D113">
        <v>1</v>
      </c>
      <c r="E113">
        <v>51652</v>
      </c>
      <c r="F113">
        <v>49</v>
      </c>
      <c r="G113" s="5" t="s">
        <v>13</v>
      </c>
    </row>
    <row r="114" spans="1:7" x14ac:dyDescent="0.25">
      <c r="A114" s="5" t="s">
        <v>120</v>
      </c>
      <c r="B114" s="5" t="s">
        <v>4</v>
      </c>
      <c r="C114">
        <v>2</v>
      </c>
      <c r="D114">
        <v>1</v>
      </c>
      <c r="E114">
        <v>26056</v>
      </c>
      <c r="F114">
        <v>112</v>
      </c>
      <c r="G114" s="5" t="s">
        <v>13</v>
      </c>
    </row>
    <row r="115" spans="1:7" x14ac:dyDescent="0.25">
      <c r="A115" s="5" t="s">
        <v>121</v>
      </c>
      <c r="B115" s="5" t="s">
        <v>7</v>
      </c>
      <c r="C115">
        <v>3</v>
      </c>
      <c r="D115">
        <v>1</v>
      </c>
      <c r="E115">
        <v>8339</v>
      </c>
      <c r="F115">
        <v>0</v>
      </c>
      <c r="G115" s="5" t="s">
        <v>5</v>
      </c>
    </row>
    <row r="116" spans="1:7" x14ac:dyDescent="0.25">
      <c r="A116" s="5" t="s">
        <v>122</v>
      </c>
      <c r="B116" s="5" t="s">
        <v>7</v>
      </c>
      <c r="C116">
        <v>3</v>
      </c>
      <c r="D116">
        <v>1</v>
      </c>
      <c r="E116">
        <v>24244</v>
      </c>
      <c r="F116">
        <v>84</v>
      </c>
      <c r="G116" s="5" t="s">
        <v>8</v>
      </c>
    </row>
    <row r="117" spans="1:7" x14ac:dyDescent="0.25">
      <c r="A117" s="5" t="s">
        <v>123</v>
      </c>
      <c r="B117" s="5" t="s">
        <v>7</v>
      </c>
      <c r="C117">
        <v>1</v>
      </c>
      <c r="D117">
        <v>1</v>
      </c>
      <c r="E117">
        <v>81714</v>
      </c>
      <c r="F117">
        <v>104</v>
      </c>
      <c r="G117" s="5" t="s">
        <v>8</v>
      </c>
    </row>
    <row r="118" spans="1:7" x14ac:dyDescent="0.25">
      <c r="A118" s="5" t="s">
        <v>124</v>
      </c>
      <c r="B118" s="5" t="s">
        <v>7</v>
      </c>
      <c r="C118">
        <v>4</v>
      </c>
      <c r="D118">
        <v>1</v>
      </c>
      <c r="E118">
        <v>26030</v>
      </c>
      <c r="F118">
        <v>69</v>
      </c>
      <c r="G118" s="5" t="s">
        <v>13</v>
      </c>
    </row>
    <row r="119" spans="1:7" x14ac:dyDescent="0.25">
      <c r="A119" s="5" t="s">
        <v>125</v>
      </c>
      <c r="B119" s="5" t="s">
        <v>7</v>
      </c>
      <c r="C119">
        <v>3</v>
      </c>
      <c r="D119">
        <v>1</v>
      </c>
      <c r="E119">
        <v>50122</v>
      </c>
      <c r="F119">
        <v>31</v>
      </c>
      <c r="G119" s="5" t="s">
        <v>8</v>
      </c>
    </row>
    <row r="120" spans="1:7" x14ac:dyDescent="0.25">
      <c r="A120" s="5" t="s">
        <v>126</v>
      </c>
      <c r="B120" s="5" t="s">
        <v>4</v>
      </c>
      <c r="C120">
        <v>3</v>
      </c>
      <c r="D120">
        <v>1</v>
      </c>
      <c r="E120">
        <v>26277</v>
      </c>
      <c r="F120">
        <v>118</v>
      </c>
      <c r="G120" s="5" t="s">
        <v>5</v>
      </c>
    </row>
    <row r="121" spans="1:7" x14ac:dyDescent="0.25">
      <c r="A121" s="5" t="s">
        <v>127</v>
      </c>
      <c r="B121" s="5" t="s">
        <v>4</v>
      </c>
      <c r="C121">
        <v>3</v>
      </c>
      <c r="D121">
        <v>1</v>
      </c>
      <c r="E121">
        <v>24050</v>
      </c>
      <c r="F121">
        <v>113</v>
      </c>
      <c r="G121" s="5" t="s">
        <v>8</v>
      </c>
    </row>
    <row r="122" spans="1:7" x14ac:dyDescent="0.25">
      <c r="A122" s="5" t="s">
        <v>128</v>
      </c>
      <c r="B122" s="5" t="s">
        <v>4</v>
      </c>
      <c r="C122">
        <v>5</v>
      </c>
      <c r="D122">
        <v>1</v>
      </c>
      <c r="E122">
        <v>51006</v>
      </c>
      <c r="F122">
        <v>20</v>
      </c>
      <c r="G122" s="5" t="s">
        <v>13</v>
      </c>
    </row>
    <row r="123" spans="1:7" x14ac:dyDescent="0.25">
      <c r="A123" s="5" t="s">
        <v>129</v>
      </c>
      <c r="B123" s="5" t="s">
        <v>4</v>
      </c>
      <c r="C123">
        <v>3</v>
      </c>
      <c r="D123">
        <v>1</v>
      </c>
      <c r="E123">
        <v>24082</v>
      </c>
      <c r="F123">
        <v>48</v>
      </c>
      <c r="G123" s="5" t="s">
        <v>13</v>
      </c>
    </row>
    <row r="124" spans="1:7" x14ac:dyDescent="0.25">
      <c r="A124" s="5" t="s">
        <v>130</v>
      </c>
      <c r="B124" s="5" t="s">
        <v>7</v>
      </c>
      <c r="C124">
        <v>3</v>
      </c>
      <c r="D124">
        <v>1</v>
      </c>
      <c r="E124">
        <v>26197</v>
      </c>
      <c r="F124">
        <v>52</v>
      </c>
      <c r="G124" s="5" t="s">
        <v>13</v>
      </c>
    </row>
    <row r="125" spans="1:7" x14ac:dyDescent="0.25">
      <c r="A125" s="5" t="s">
        <v>131</v>
      </c>
      <c r="B125" s="5" t="s">
        <v>4</v>
      </c>
      <c r="C125">
        <v>1</v>
      </c>
      <c r="D125">
        <v>1</v>
      </c>
      <c r="E125">
        <v>23662</v>
      </c>
      <c r="F125">
        <v>29</v>
      </c>
      <c r="G125" s="5" t="s">
        <v>13</v>
      </c>
    </row>
    <row r="126" spans="1:7" x14ac:dyDescent="0.25">
      <c r="A126" s="5" t="s">
        <v>132</v>
      </c>
      <c r="B126" s="5" t="s">
        <v>4</v>
      </c>
      <c r="C126">
        <v>4</v>
      </c>
      <c r="D126">
        <v>1</v>
      </c>
      <c r="E126">
        <v>48995</v>
      </c>
      <c r="F126">
        <v>49</v>
      </c>
      <c r="G126" s="5" t="s">
        <v>5</v>
      </c>
    </row>
    <row r="127" spans="1:7" x14ac:dyDescent="0.25">
      <c r="A127" s="5" t="s">
        <v>133</v>
      </c>
      <c r="B127" s="5" t="s">
        <v>4</v>
      </c>
      <c r="C127">
        <v>1</v>
      </c>
      <c r="D127">
        <v>1</v>
      </c>
      <c r="E127">
        <v>23871</v>
      </c>
      <c r="F127">
        <v>70</v>
      </c>
      <c r="G127" s="5" t="s">
        <v>5</v>
      </c>
    </row>
    <row r="128" spans="1:7" x14ac:dyDescent="0.25">
      <c r="A128" s="5" t="s">
        <v>134</v>
      </c>
      <c r="B128" s="5" t="s">
        <v>4</v>
      </c>
      <c r="C128">
        <v>3</v>
      </c>
      <c r="D128">
        <v>1</v>
      </c>
      <c r="E128">
        <v>11522</v>
      </c>
      <c r="F128">
        <v>10</v>
      </c>
      <c r="G128" s="5" t="s">
        <v>8</v>
      </c>
    </row>
    <row r="129" spans="1:7" x14ac:dyDescent="0.25">
      <c r="A129" s="5" t="s">
        <v>135</v>
      </c>
      <c r="B129" s="5" t="s">
        <v>4</v>
      </c>
      <c r="C129">
        <v>2</v>
      </c>
      <c r="D129">
        <v>1</v>
      </c>
      <c r="E129">
        <v>9908</v>
      </c>
      <c r="F129">
        <v>81</v>
      </c>
      <c r="G129" s="5" t="s">
        <v>5</v>
      </c>
    </row>
    <row r="130" spans="1:7" x14ac:dyDescent="0.25">
      <c r="A130" s="5" t="s">
        <v>136</v>
      </c>
      <c r="B130" s="5" t="s">
        <v>7</v>
      </c>
      <c r="C130">
        <v>3</v>
      </c>
      <c r="D130">
        <v>1</v>
      </c>
      <c r="E130">
        <v>12836</v>
      </c>
      <c r="F130">
        <v>24</v>
      </c>
      <c r="G130" s="5" t="s">
        <v>5</v>
      </c>
    </row>
    <row r="131" spans="1:7" x14ac:dyDescent="0.25">
      <c r="A131" s="5" t="s">
        <v>137</v>
      </c>
      <c r="B131" s="5" t="s">
        <v>7</v>
      </c>
      <c r="C131">
        <v>2</v>
      </c>
      <c r="D131">
        <v>1</v>
      </c>
      <c r="E131">
        <v>26141</v>
      </c>
      <c r="F131">
        <v>92</v>
      </c>
      <c r="G131" s="5" t="s">
        <v>8</v>
      </c>
    </row>
    <row r="132" spans="1:7" x14ac:dyDescent="0.25">
      <c r="A132" s="5" t="s">
        <v>138</v>
      </c>
      <c r="B132" s="5" t="s">
        <v>4</v>
      </c>
      <c r="C132">
        <v>4</v>
      </c>
      <c r="D132">
        <v>1</v>
      </c>
      <c r="E132">
        <v>7537</v>
      </c>
      <c r="F132">
        <v>77</v>
      </c>
      <c r="G132" s="5" t="s">
        <v>8</v>
      </c>
    </row>
    <row r="133" spans="1:7" x14ac:dyDescent="0.25">
      <c r="A133" s="5" t="s">
        <v>139</v>
      </c>
      <c r="B133" s="5" t="s">
        <v>7</v>
      </c>
      <c r="C133">
        <v>1</v>
      </c>
      <c r="D133">
        <v>1</v>
      </c>
      <c r="E133">
        <v>24822</v>
      </c>
      <c r="F133">
        <v>66</v>
      </c>
      <c r="G133" s="5" t="s">
        <v>8</v>
      </c>
    </row>
    <row r="134" spans="1:7" x14ac:dyDescent="0.25">
      <c r="A134" s="5" t="s">
        <v>140</v>
      </c>
      <c r="B134" s="5" t="s">
        <v>4</v>
      </c>
      <c r="C134">
        <v>3</v>
      </c>
      <c r="D134">
        <v>1</v>
      </c>
      <c r="E134">
        <v>26302</v>
      </c>
      <c r="F134">
        <v>62</v>
      </c>
      <c r="G134" s="5" t="s">
        <v>8</v>
      </c>
    </row>
    <row r="135" spans="1:7" x14ac:dyDescent="0.25">
      <c r="A135" s="5" t="s">
        <v>141</v>
      </c>
      <c r="B135" s="5" t="s">
        <v>7</v>
      </c>
      <c r="C135">
        <v>3</v>
      </c>
      <c r="D135">
        <v>1</v>
      </c>
      <c r="E135">
        <v>24074</v>
      </c>
      <c r="F135">
        <v>20</v>
      </c>
      <c r="G135" s="5" t="s">
        <v>13</v>
      </c>
    </row>
    <row r="136" spans="1:7" x14ac:dyDescent="0.25">
      <c r="A136" s="5" t="s">
        <v>142</v>
      </c>
      <c r="B136" s="5" t="s">
        <v>7</v>
      </c>
      <c r="C136">
        <v>2</v>
      </c>
      <c r="D136">
        <v>1</v>
      </c>
      <c r="E136">
        <v>51570</v>
      </c>
      <c r="F136">
        <v>24</v>
      </c>
      <c r="G136" s="5" t="s">
        <v>8</v>
      </c>
    </row>
    <row r="137" spans="1:7" x14ac:dyDescent="0.25">
      <c r="A137" s="5" t="s">
        <v>143</v>
      </c>
      <c r="B137" s="5" t="s">
        <v>7</v>
      </c>
      <c r="C137">
        <v>4</v>
      </c>
      <c r="D137">
        <v>1</v>
      </c>
      <c r="E137">
        <v>25266</v>
      </c>
      <c r="F137">
        <v>31</v>
      </c>
      <c r="G137" s="5" t="s">
        <v>8</v>
      </c>
    </row>
    <row r="138" spans="1:7" x14ac:dyDescent="0.25">
      <c r="A138" s="5" t="s">
        <v>144</v>
      </c>
      <c r="B138" s="5" t="s">
        <v>7</v>
      </c>
      <c r="C138">
        <v>1</v>
      </c>
      <c r="D138">
        <v>1</v>
      </c>
      <c r="E138">
        <v>48821</v>
      </c>
      <c r="F138">
        <v>81</v>
      </c>
      <c r="G138" s="5" t="s">
        <v>13</v>
      </c>
    </row>
    <row r="139" spans="1:7" x14ac:dyDescent="0.25">
      <c r="A139" s="5" t="s">
        <v>145</v>
      </c>
      <c r="B139" s="5" t="s">
        <v>7</v>
      </c>
      <c r="C139">
        <v>2</v>
      </c>
      <c r="D139">
        <v>1</v>
      </c>
      <c r="E139">
        <v>10676</v>
      </c>
      <c r="F139">
        <v>116</v>
      </c>
      <c r="G139" s="5" t="s">
        <v>8</v>
      </c>
    </row>
    <row r="140" spans="1:7" x14ac:dyDescent="0.25">
      <c r="A140" s="5" t="s">
        <v>146</v>
      </c>
      <c r="B140" s="5" t="s">
        <v>4</v>
      </c>
      <c r="C140">
        <v>3</v>
      </c>
      <c r="D140">
        <v>1</v>
      </c>
      <c r="E140">
        <v>9521</v>
      </c>
      <c r="F140">
        <v>26</v>
      </c>
      <c r="G140" s="5" t="s">
        <v>13</v>
      </c>
    </row>
    <row r="141" spans="1:7" x14ac:dyDescent="0.25">
      <c r="A141" s="5" t="s">
        <v>147</v>
      </c>
      <c r="B141" s="5" t="s">
        <v>7</v>
      </c>
      <c r="C141">
        <v>2</v>
      </c>
      <c r="D141">
        <v>1</v>
      </c>
      <c r="E141">
        <v>50514</v>
      </c>
      <c r="F141">
        <v>83</v>
      </c>
      <c r="G141" s="5" t="s">
        <v>8</v>
      </c>
    </row>
    <row r="142" spans="1:7" x14ac:dyDescent="0.25">
      <c r="A142" s="5" t="s">
        <v>148</v>
      </c>
      <c r="B142" s="5" t="s">
        <v>4</v>
      </c>
      <c r="C142">
        <v>1</v>
      </c>
      <c r="D142">
        <v>1</v>
      </c>
      <c r="E142">
        <v>10958</v>
      </c>
      <c r="F142">
        <v>39</v>
      </c>
      <c r="G142" s="5" t="s">
        <v>5</v>
      </c>
    </row>
    <row r="143" spans="1:7" x14ac:dyDescent="0.25">
      <c r="A143" s="5" t="s">
        <v>149</v>
      </c>
      <c r="B143" s="5" t="s">
        <v>4</v>
      </c>
      <c r="C143">
        <v>1</v>
      </c>
      <c r="D143">
        <v>1</v>
      </c>
      <c r="E143">
        <v>8438</v>
      </c>
      <c r="F143">
        <v>117</v>
      </c>
      <c r="G143" s="5" t="s">
        <v>5</v>
      </c>
    </row>
    <row r="144" spans="1:7" x14ac:dyDescent="0.25">
      <c r="A144" s="5" t="s">
        <v>150</v>
      </c>
      <c r="B144" s="5" t="s">
        <v>7</v>
      </c>
      <c r="C144">
        <v>3</v>
      </c>
      <c r="D144">
        <v>1</v>
      </c>
      <c r="E144">
        <v>77717</v>
      </c>
      <c r="F144">
        <v>75</v>
      </c>
      <c r="G144" s="5" t="s">
        <v>5</v>
      </c>
    </row>
    <row r="145" spans="1:7" x14ac:dyDescent="0.25">
      <c r="A145" s="5" t="s">
        <v>151</v>
      </c>
      <c r="B145" s="5" t="s">
        <v>7</v>
      </c>
      <c r="C145">
        <v>2</v>
      </c>
      <c r="D145">
        <v>1</v>
      </c>
      <c r="E145">
        <v>53211</v>
      </c>
      <c r="F145">
        <v>25</v>
      </c>
      <c r="G145" s="5" t="s">
        <v>13</v>
      </c>
    </row>
    <row r="146" spans="1:7" x14ac:dyDescent="0.25">
      <c r="A146" s="5" t="s">
        <v>152</v>
      </c>
      <c r="B146" s="5" t="s">
        <v>4</v>
      </c>
      <c r="C146">
        <v>2</v>
      </c>
      <c r="D146">
        <v>1</v>
      </c>
      <c r="E146">
        <v>25678</v>
      </c>
      <c r="F146">
        <v>64</v>
      </c>
      <c r="G146" s="5" t="s">
        <v>5</v>
      </c>
    </row>
    <row r="147" spans="1:7" x14ac:dyDescent="0.25">
      <c r="A147" s="5" t="s">
        <v>153</v>
      </c>
      <c r="B147" s="5" t="s">
        <v>4</v>
      </c>
      <c r="C147">
        <v>2</v>
      </c>
      <c r="D147">
        <v>1</v>
      </c>
      <c r="E147">
        <v>11183</v>
      </c>
      <c r="F147">
        <v>46</v>
      </c>
      <c r="G147" s="5" t="s">
        <v>8</v>
      </c>
    </row>
    <row r="148" spans="1:7" x14ac:dyDescent="0.25">
      <c r="A148" s="5" t="s">
        <v>154</v>
      </c>
      <c r="B148" s="5" t="s">
        <v>7</v>
      </c>
      <c r="C148">
        <v>3</v>
      </c>
      <c r="D148">
        <v>1</v>
      </c>
      <c r="E148">
        <v>25085</v>
      </c>
      <c r="F148">
        <v>115</v>
      </c>
      <c r="G148" s="5" t="s">
        <v>8</v>
      </c>
    </row>
    <row r="149" spans="1:7" x14ac:dyDescent="0.25">
      <c r="A149" s="5" t="s">
        <v>155</v>
      </c>
      <c r="B149" s="5" t="s">
        <v>7</v>
      </c>
      <c r="C149">
        <v>3</v>
      </c>
      <c r="D149">
        <v>1</v>
      </c>
      <c r="E149">
        <v>9388</v>
      </c>
      <c r="F149">
        <v>112</v>
      </c>
      <c r="G149" s="5" t="s">
        <v>13</v>
      </c>
    </row>
    <row r="150" spans="1:7" x14ac:dyDescent="0.25">
      <c r="A150" s="5" t="s">
        <v>156</v>
      </c>
      <c r="B150" s="5" t="s">
        <v>7</v>
      </c>
      <c r="C150">
        <v>1</v>
      </c>
      <c r="D150">
        <v>1</v>
      </c>
      <c r="E150">
        <v>25094</v>
      </c>
      <c r="F150">
        <v>104</v>
      </c>
      <c r="G150" s="5" t="s">
        <v>8</v>
      </c>
    </row>
    <row r="151" spans="1:7" x14ac:dyDescent="0.25">
      <c r="A151" s="5" t="s">
        <v>157</v>
      </c>
      <c r="B151" s="5" t="s">
        <v>7</v>
      </c>
      <c r="C151">
        <v>3</v>
      </c>
      <c r="D151">
        <v>1</v>
      </c>
      <c r="E151">
        <v>25018</v>
      </c>
      <c r="F151">
        <v>40</v>
      </c>
      <c r="G151" s="5" t="s">
        <v>5</v>
      </c>
    </row>
    <row r="152" spans="1:7" x14ac:dyDescent="0.25">
      <c r="A152" s="5" t="s">
        <v>158</v>
      </c>
      <c r="B152" s="5" t="s">
        <v>7</v>
      </c>
      <c r="C152">
        <v>4</v>
      </c>
      <c r="D152">
        <v>1</v>
      </c>
      <c r="E152">
        <v>23785</v>
      </c>
      <c r="F152">
        <v>114</v>
      </c>
      <c r="G152" s="5" t="s">
        <v>8</v>
      </c>
    </row>
    <row r="153" spans="1:7" x14ac:dyDescent="0.25">
      <c r="A153" s="5" t="s">
        <v>159</v>
      </c>
      <c r="B153" s="5" t="s">
        <v>4</v>
      </c>
      <c r="C153">
        <v>2</v>
      </c>
      <c r="D153">
        <v>1</v>
      </c>
      <c r="E153">
        <v>80184</v>
      </c>
      <c r="F153">
        <v>90</v>
      </c>
      <c r="G153" s="5" t="s">
        <v>5</v>
      </c>
    </row>
    <row r="154" spans="1:7" x14ac:dyDescent="0.25">
      <c r="A154" s="5" t="s">
        <v>160</v>
      </c>
      <c r="B154" s="5" t="s">
        <v>4</v>
      </c>
      <c r="C154">
        <v>2</v>
      </c>
      <c r="D154">
        <v>1</v>
      </c>
      <c r="E154">
        <v>51042</v>
      </c>
      <c r="F154">
        <v>27</v>
      </c>
      <c r="G154" s="5" t="s">
        <v>13</v>
      </c>
    </row>
    <row r="155" spans="1:7" x14ac:dyDescent="0.25">
      <c r="A155" s="5" t="s">
        <v>161</v>
      </c>
      <c r="B155" s="5" t="s">
        <v>7</v>
      </c>
      <c r="C155">
        <v>3</v>
      </c>
      <c r="D155">
        <v>1</v>
      </c>
      <c r="E155">
        <v>12132</v>
      </c>
      <c r="F155">
        <v>77</v>
      </c>
      <c r="G155" s="5" t="s">
        <v>8</v>
      </c>
    </row>
    <row r="156" spans="1:7" x14ac:dyDescent="0.25">
      <c r="A156" s="5" t="s">
        <v>162</v>
      </c>
      <c r="B156" s="5" t="s">
        <v>4</v>
      </c>
      <c r="C156">
        <v>3</v>
      </c>
      <c r="D156">
        <v>1</v>
      </c>
      <c r="E156">
        <v>49743</v>
      </c>
      <c r="F156">
        <v>74</v>
      </c>
      <c r="G156" s="5" t="s">
        <v>13</v>
      </c>
    </row>
    <row r="157" spans="1:7" x14ac:dyDescent="0.25">
      <c r="A157" s="5" t="s">
        <v>163</v>
      </c>
      <c r="B157" s="5" t="s">
        <v>7</v>
      </c>
      <c r="C157">
        <v>4</v>
      </c>
      <c r="D157">
        <v>1</v>
      </c>
      <c r="E157">
        <v>80975</v>
      </c>
      <c r="F157">
        <v>64</v>
      </c>
      <c r="G157" s="5" t="s">
        <v>5</v>
      </c>
    </row>
    <row r="158" spans="1:7" x14ac:dyDescent="0.25">
      <c r="A158" s="5" t="s">
        <v>164</v>
      </c>
      <c r="B158" s="5" t="s">
        <v>7</v>
      </c>
      <c r="C158">
        <v>1</v>
      </c>
      <c r="D158">
        <v>1</v>
      </c>
      <c r="E158">
        <v>51879</v>
      </c>
      <c r="F158">
        <v>117</v>
      </c>
      <c r="G158" s="5" t="s">
        <v>8</v>
      </c>
    </row>
    <row r="159" spans="1:7" x14ac:dyDescent="0.25">
      <c r="A159" s="5" t="s">
        <v>165</v>
      </c>
      <c r="B159" s="5" t="s">
        <v>7</v>
      </c>
      <c r="C159">
        <v>2</v>
      </c>
      <c r="D159">
        <v>1</v>
      </c>
      <c r="E159">
        <v>51381</v>
      </c>
      <c r="F159">
        <v>39</v>
      </c>
      <c r="G159" s="5" t="s">
        <v>5</v>
      </c>
    </row>
    <row r="160" spans="1:7" x14ac:dyDescent="0.25">
      <c r="A160" s="5" t="s">
        <v>166</v>
      </c>
      <c r="B160" s="5" t="s">
        <v>7</v>
      </c>
      <c r="C160">
        <v>4</v>
      </c>
      <c r="D160">
        <v>1</v>
      </c>
      <c r="E160">
        <v>50454</v>
      </c>
      <c r="F160">
        <v>100</v>
      </c>
      <c r="G160" s="5" t="s">
        <v>5</v>
      </c>
    </row>
    <row r="161" spans="1:7" x14ac:dyDescent="0.25">
      <c r="A161" s="5" t="s">
        <v>167</v>
      </c>
      <c r="B161" s="5" t="s">
        <v>7</v>
      </c>
      <c r="C161">
        <v>4</v>
      </c>
      <c r="D161">
        <v>1</v>
      </c>
      <c r="E161">
        <v>52194</v>
      </c>
      <c r="F161">
        <v>83</v>
      </c>
      <c r="G161" s="5" t="s">
        <v>5</v>
      </c>
    </row>
    <row r="162" spans="1:7" x14ac:dyDescent="0.25">
      <c r="A162" s="5" t="s">
        <v>168</v>
      </c>
      <c r="B162" s="5" t="s">
        <v>4</v>
      </c>
      <c r="C162">
        <v>3</v>
      </c>
      <c r="D162">
        <v>1</v>
      </c>
      <c r="E162">
        <v>7055</v>
      </c>
      <c r="F162">
        <v>64</v>
      </c>
      <c r="G162" s="5" t="s">
        <v>5</v>
      </c>
    </row>
    <row r="163" spans="1:7" x14ac:dyDescent="0.25">
      <c r="A163" s="5" t="s">
        <v>169</v>
      </c>
      <c r="B163" s="5" t="s">
        <v>7</v>
      </c>
      <c r="C163">
        <v>3</v>
      </c>
      <c r="D163">
        <v>1</v>
      </c>
      <c r="E163">
        <v>78387</v>
      </c>
      <c r="F163">
        <v>107</v>
      </c>
      <c r="G163" s="5" t="s">
        <v>5</v>
      </c>
    </row>
    <row r="164" spans="1:7" x14ac:dyDescent="0.25">
      <c r="A164" s="5" t="s">
        <v>170</v>
      </c>
      <c r="B164" s="5" t="s">
        <v>7</v>
      </c>
      <c r="C164">
        <v>3</v>
      </c>
      <c r="D164">
        <v>1</v>
      </c>
      <c r="E164">
        <v>81542</v>
      </c>
      <c r="F164">
        <v>61</v>
      </c>
      <c r="G164" s="5" t="s">
        <v>5</v>
      </c>
    </row>
    <row r="165" spans="1:7" x14ac:dyDescent="0.25">
      <c r="A165" s="5" t="s">
        <v>171</v>
      </c>
      <c r="B165" s="5" t="s">
        <v>4</v>
      </c>
      <c r="C165">
        <v>2</v>
      </c>
      <c r="D165">
        <v>1</v>
      </c>
      <c r="E165">
        <v>51941</v>
      </c>
      <c r="F165">
        <v>104</v>
      </c>
      <c r="G165" s="5" t="s">
        <v>13</v>
      </c>
    </row>
    <row r="166" spans="1:7" x14ac:dyDescent="0.25">
      <c r="A166" s="5" t="s">
        <v>172</v>
      </c>
      <c r="B166" s="5" t="s">
        <v>4</v>
      </c>
      <c r="C166">
        <v>3</v>
      </c>
      <c r="D166">
        <v>1</v>
      </c>
      <c r="E166">
        <v>23060</v>
      </c>
      <c r="F166">
        <v>81</v>
      </c>
      <c r="G166" s="5" t="s">
        <v>13</v>
      </c>
    </row>
    <row r="167" spans="1:7" x14ac:dyDescent="0.25">
      <c r="A167" s="5" t="s">
        <v>173</v>
      </c>
      <c r="B167" s="5" t="s">
        <v>7</v>
      </c>
      <c r="C167">
        <v>2</v>
      </c>
      <c r="D167">
        <v>1</v>
      </c>
      <c r="E167">
        <v>22725</v>
      </c>
      <c r="F167">
        <v>117</v>
      </c>
      <c r="G167" s="5" t="s">
        <v>5</v>
      </c>
    </row>
    <row r="168" spans="1:7" x14ac:dyDescent="0.25">
      <c r="A168" s="5" t="s">
        <v>174</v>
      </c>
      <c r="B168" s="5" t="s">
        <v>7</v>
      </c>
      <c r="C168">
        <v>5</v>
      </c>
      <c r="D168">
        <v>1</v>
      </c>
      <c r="E168">
        <v>8646</v>
      </c>
      <c r="F168">
        <v>47</v>
      </c>
      <c r="G168" s="5" t="s">
        <v>8</v>
      </c>
    </row>
    <row r="169" spans="1:7" x14ac:dyDescent="0.25">
      <c r="A169" s="5" t="s">
        <v>175</v>
      </c>
      <c r="B169" s="5" t="s">
        <v>7</v>
      </c>
      <c r="C169">
        <v>4</v>
      </c>
      <c r="D169">
        <v>1</v>
      </c>
      <c r="E169">
        <v>10614</v>
      </c>
      <c r="F169">
        <v>34</v>
      </c>
      <c r="G169" s="5" t="s">
        <v>8</v>
      </c>
    </row>
    <row r="170" spans="1:7" x14ac:dyDescent="0.25">
      <c r="A170" s="5" t="s">
        <v>176</v>
      </c>
      <c r="B170" s="5" t="s">
        <v>4</v>
      </c>
      <c r="C170">
        <v>1</v>
      </c>
      <c r="D170">
        <v>1</v>
      </c>
      <c r="E170">
        <v>79560</v>
      </c>
      <c r="F170">
        <v>8</v>
      </c>
      <c r="G170" s="5" t="s">
        <v>13</v>
      </c>
    </row>
    <row r="171" spans="1:7" x14ac:dyDescent="0.25">
      <c r="A171" s="5" t="s">
        <v>177</v>
      </c>
      <c r="B171" s="5" t="s">
        <v>7</v>
      </c>
      <c r="C171">
        <v>2</v>
      </c>
      <c r="D171">
        <v>1</v>
      </c>
      <c r="E171">
        <v>25300</v>
      </c>
      <c r="F171">
        <v>99</v>
      </c>
      <c r="G171" s="5" t="s">
        <v>5</v>
      </c>
    </row>
    <row r="172" spans="1:7" x14ac:dyDescent="0.25">
      <c r="A172" s="5" t="s">
        <v>178</v>
      </c>
      <c r="B172" s="5" t="s">
        <v>4</v>
      </c>
      <c r="C172">
        <v>2</v>
      </c>
      <c r="D172">
        <v>1</v>
      </c>
      <c r="E172">
        <v>51775</v>
      </c>
      <c r="F172">
        <v>110</v>
      </c>
      <c r="G172" s="5" t="s">
        <v>5</v>
      </c>
    </row>
    <row r="173" spans="1:7" x14ac:dyDescent="0.25">
      <c r="A173" s="5" t="s">
        <v>179</v>
      </c>
      <c r="B173" s="5" t="s">
        <v>4</v>
      </c>
      <c r="C173">
        <v>2</v>
      </c>
      <c r="D173">
        <v>1</v>
      </c>
      <c r="E173">
        <v>11068</v>
      </c>
      <c r="F173">
        <v>85</v>
      </c>
      <c r="G173" s="5" t="s">
        <v>5</v>
      </c>
    </row>
    <row r="174" spans="1:7" x14ac:dyDescent="0.25">
      <c r="A174" s="5" t="s">
        <v>180</v>
      </c>
      <c r="B174" s="5" t="s">
        <v>7</v>
      </c>
      <c r="C174">
        <v>3</v>
      </c>
      <c r="D174">
        <v>1</v>
      </c>
      <c r="E174">
        <v>25928</v>
      </c>
      <c r="F174">
        <v>87</v>
      </c>
      <c r="G174" s="5" t="s">
        <v>8</v>
      </c>
    </row>
    <row r="175" spans="1:7" x14ac:dyDescent="0.25">
      <c r="A175" s="5" t="s">
        <v>181</v>
      </c>
      <c r="B175" s="5" t="s">
        <v>4</v>
      </c>
      <c r="C175">
        <v>3</v>
      </c>
      <c r="D175">
        <v>1</v>
      </c>
      <c r="E175">
        <v>50226</v>
      </c>
      <c r="F175">
        <v>87</v>
      </c>
      <c r="G175" s="5" t="s">
        <v>5</v>
      </c>
    </row>
    <row r="176" spans="1:7" x14ac:dyDescent="0.25">
      <c r="A176" s="5" t="s">
        <v>182</v>
      </c>
      <c r="B176" s="5" t="s">
        <v>4</v>
      </c>
      <c r="C176">
        <v>2</v>
      </c>
      <c r="D176">
        <v>1</v>
      </c>
      <c r="E176">
        <v>49450</v>
      </c>
      <c r="F176">
        <v>11</v>
      </c>
      <c r="G176" s="5" t="s">
        <v>5</v>
      </c>
    </row>
    <row r="177" spans="1:7" x14ac:dyDescent="0.25">
      <c r="A177" s="5" t="s">
        <v>183</v>
      </c>
      <c r="B177" s="5" t="s">
        <v>7</v>
      </c>
      <c r="C177">
        <v>3</v>
      </c>
      <c r="D177">
        <v>1</v>
      </c>
      <c r="E177">
        <v>10479</v>
      </c>
      <c r="F177">
        <v>46</v>
      </c>
      <c r="G177" s="5" t="s">
        <v>5</v>
      </c>
    </row>
    <row r="178" spans="1:7" x14ac:dyDescent="0.25">
      <c r="A178" s="5" t="s">
        <v>184</v>
      </c>
      <c r="B178" s="5" t="s">
        <v>4</v>
      </c>
      <c r="C178">
        <v>3</v>
      </c>
      <c r="D178">
        <v>1</v>
      </c>
      <c r="E178">
        <v>49701</v>
      </c>
      <c r="F178">
        <v>28</v>
      </c>
      <c r="G178" s="5" t="s">
        <v>13</v>
      </c>
    </row>
    <row r="179" spans="1:7" x14ac:dyDescent="0.25">
      <c r="A179" s="5" t="s">
        <v>185</v>
      </c>
      <c r="B179" s="5" t="s">
        <v>7</v>
      </c>
      <c r="C179">
        <v>3</v>
      </c>
      <c r="D179">
        <v>1</v>
      </c>
      <c r="E179">
        <v>79690</v>
      </c>
      <c r="F179">
        <v>85</v>
      </c>
      <c r="G179" s="5" t="s">
        <v>13</v>
      </c>
    </row>
    <row r="180" spans="1:7" x14ac:dyDescent="0.25">
      <c r="A180" s="5" t="s">
        <v>186</v>
      </c>
      <c r="B180" s="5" t="s">
        <v>7</v>
      </c>
      <c r="C180">
        <v>3</v>
      </c>
      <c r="D180">
        <v>1</v>
      </c>
      <c r="E180">
        <v>50406</v>
      </c>
      <c r="F180">
        <v>55</v>
      </c>
      <c r="G180" s="5" t="s">
        <v>13</v>
      </c>
    </row>
    <row r="181" spans="1:7" x14ac:dyDescent="0.25">
      <c r="A181" s="5" t="s">
        <v>187</v>
      </c>
      <c r="B181" s="5" t="s">
        <v>4</v>
      </c>
      <c r="C181">
        <v>2</v>
      </c>
      <c r="D181">
        <v>1</v>
      </c>
      <c r="E181">
        <v>77206</v>
      </c>
      <c r="F181">
        <v>44</v>
      </c>
      <c r="G181" s="5" t="s">
        <v>13</v>
      </c>
    </row>
    <row r="182" spans="1:7" x14ac:dyDescent="0.25">
      <c r="A182" s="5" t="s">
        <v>188</v>
      </c>
      <c r="B182" s="5" t="s">
        <v>7</v>
      </c>
      <c r="C182">
        <v>2</v>
      </c>
      <c r="D182">
        <v>1</v>
      </c>
      <c r="E182">
        <v>10589</v>
      </c>
      <c r="F182">
        <v>77</v>
      </c>
      <c r="G182" s="5" t="s">
        <v>13</v>
      </c>
    </row>
    <row r="183" spans="1:7" x14ac:dyDescent="0.25">
      <c r="A183" s="5" t="s">
        <v>189</v>
      </c>
      <c r="B183" s="5" t="s">
        <v>7</v>
      </c>
      <c r="C183">
        <v>1</v>
      </c>
      <c r="D183">
        <v>1</v>
      </c>
      <c r="E183">
        <v>9702</v>
      </c>
      <c r="F183">
        <v>15</v>
      </c>
      <c r="G183" s="5" t="s">
        <v>13</v>
      </c>
    </row>
    <row r="184" spans="1:7" x14ac:dyDescent="0.25">
      <c r="A184" s="5" t="s">
        <v>190</v>
      </c>
      <c r="B184" s="5" t="s">
        <v>7</v>
      </c>
      <c r="C184">
        <v>1</v>
      </c>
      <c r="D184">
        <v>1</v>
      </c>
      <c r="E184">
        <v>49629</v>
      </c>
      <c r="F184">
        <v>25</v>
      </c>
      <c r="G184" s="5" t="s">
        <v>5</v>
      </c>
    </row>
    <row r="185" spans="1:7" x14ac:dyDescent="0.25">
      <c r="A185" s="5" t="s">
        <v>191</v>
      </c>
      <c r="B185" s="5" t="s">
        <v>4</v>
      </c>
      <c r="C185">
        <v>3</v>
      </c>
      <c r="D185">
        <v>1</v>
      </c>
      <c r="E185">
        <v>10942</v>
      </c>
      <c r="F185">
        <v>85</v>
      </c>
      <c r="G185" s="5" t="s">
        <v>5</v>
      </c>
    </row>
    <row r="186" spans="1:7" x14ac:dyDescent="0.25">
      <c r="A186" s="5" t="s">
        <v>192</v>
      </c>
      <c r="B186" s="5" t="s">
        <v>7</v>
      </c>
      <c r="C186">
        <v>3</v>
      </c>
      <c r="D186">
        <v>1</v>
      </c>
      <c r="E186">
        <v>51729</v>
      </c>
      <c r="F186">
        <v>42</v>
      </c>
      <c r="G186" s="5" t="s">
        <v>8</v>
      </c>
    </row>
    <row r="187" spans="1:7" x14ac:dyDescent="0.25">
      <c r="A187" s="5" t="s">
        <v>193</v>
      </c>
      <c r="B187" s="5" t="s">
        <v>7</v>
      </c>
      <c r="C187">
        <v>2</v>
      </c>
      <c r="D187">
        <v>1</v>
      </c>
      <c r="E187">
        <v>9919</v>
      </c>
      <c r="F187">
        <v>72</v>
      </c>
      <c r="G187" s="5" t="s">
        <v>5</v>
      </c>
    </row>
    <row r="188" spans="1:7" x14ac:dyDescent="0.25">
      <c r="A188" s="5" t="s">
        <v>194</v>
      </c>
      <c r="B188" s="5" t="s">
        <v>4</v>
      </c>
      <c r="C188">
        <v>5</v>
      </c>
      <c r="D188">
        <v>1</v>
      </c>
      <c r="E188">
        <v>8295</v>
      </c>
      <c r="F188">
        <v>51</v>
      </c>
      <c r="G188" s="5" t="s">
        <v>8</v>
      </c>
    </row>
    <row r="189" spans="1:7" x14ac:dyDescent="0.25">
      <c r="A189" s="5" t="s">
        <v>195</v>
      </c>
      <c r="B189" s="5" t="s">
        <v>7</v>
      </c>
      <c r="C189">
        <v>3</v>
      </c>
      <c r="D189">
        <v>1</v>
      </c>
      <c r="E189">
        <v>9731</v>
      </c>
      <c r="F189">
        <v>46</v>
      </c>
      <c r="G189" s="5" t="s">
        <v>13</v>
      </c>
    </row>
    <row r="190" spans="1:7" x14ac:dyDescent="0.25">
      <c r="A190" s="5" t="s">
        <v>196</v>
      </c>
      <c r="B190" s="5" t="s">
        <v>4</v>
      </c>
      <c r="C190">
        <v>2</v>
      </c>
      <c r="D190">
        <v>1</v>
      </c>
      <c r="E190">
        <v>9212</v>
      </c>
      <c r="F190">
        <v>56</v>
      </c>
      <c r="G190" s="5" t="s">
        <v>5</v>
      </c>
    </row>
    <row r="191" spans="1:7" x14ac:dyDescent="0.25">
      <c r="A191" s="5" t="s">
        <v>197</v>
      </c>
      <c r="B191" s="5" t="s">
        <v>7</v>
      </c>
      <c r="C191">
        <v>3</v>
      </c>
      <c r="D191">
        <v>1</v>
      </c>
      <c r="E191">
        <v>9539</v>
      </c>
      <c r="F191">
        <v>69</v>
      </c>
      <c r="G191" s="5" t="s">
        <v>5</v>
      </c>
    </row>
    <row r="192" spans="1:7" x14ac:dyDescent="0.25">
      <c r="A192" s="5" t="s">
        <v>198</v>
      </c>
      <c r="B192" s="5" t="s">
        <v>4</v>
      </c>
      <c r="C192">
        <v>1</v>
      </c>
      <c r="D192">
        <v>1</v>
      </c>
      <c r="E192">
        <v>50448</v>
      </c>
      <c r="F192">
        <v>28</v>
      </c>
      <c r="G192" s="5" t="s">
        <v>5</v>
      </c>
    </row>
    <row r="193" spans="1:7" x14ac:dyDescent="0.25">
      <c r="A193" s="5" t="s">
        <v>199</v>
      </c>
      <c r="B193" s="5" t="s">
        <v>4</v>
      </c>
      <c r="C193">
        <v>2</v>
      </c>
      <c r="D193">
        <v>1</v>
      </c>
      <c r="E193">
        <v>49904</v>
      </c>
      <c r="F193">
        <v>2</v>
      </c>
      <c r="G193" s="5" t="s">
        <v>5</v>
      </c>
    </row>
    <row r="194" spans="1:7" x14ac:dyDescent="0.25">
      <c r="A194" s="5" t="s">
        <v>200</v>
      </c>
      <c r="B194" s="5" t="s">
        <v>7</v>
      </c>
      <c r="C194">
        <v>3</v>
      </c>
      <c r="D194">
        <v>1</v>
      </c>
      <c r="E194">
        <v>25696</v>
      </c>
      <c r="F194">
        <v>26</v>
      </c>
      <c r="G194" s="5" t="s">
        <v>13</v>
      </c>
    </row>
    <row r="195" spans="1:7" x14ac:dyDescent="0.25">
      <c r="A195" s="5" t="s">
        <v>201</v>
      </c>
      <c r="B195" s="5" t="s">
        <v>7</v>
      </c>
      <c r="C195">
        <v>4</v>
      </c>
      <c r="D195">
        <v>1</v>
      </c>
      <c r="E195">
        <v>24797</v>
      </c>
      <c r="F195">
        <v>6</v>
      </c>
      <c r="G195" s="5" t="s">
        <v>5</v>
      </c>
    </row>
    <row r="196" spans="1:7" x14ac:dyDescent="0.25">
      <c r="A196" s="5" t="s">
        <v>202</v>
      </c>
      <c r="B196" s="5" t="s">
        <v>4</v>
      </c>
      <c r="C196">
        <v>2</v>
      </c>
      <c r="D196">
        <v>1</v>
      </c>
      <c r="E196">
        <v>9518</v>
      </c>
      <c r="F196">
        <v>90</v>
      </c>
      <c r="G196" s="5" t="s">
        <v>5</v>
      </c>
    </row>
    <row r="197" spans="1:7" x14ac:dyDescent="0.25">
      <c r="A197" s="5" t="s">
        <v>203</v>
      </c>
      <c r="B197" s="5" t="s">
        <v>7</v>
      </c>
      <c r="C197">
        <v>2</v>
      </c>
      <c r="D197">
        <v>1</v>
      </c>
      <c r="E197">
        <v>9729</v>
      </c>
      <c r="F197">
        <v>22</v>
      </c>
      <c r="G197" s="5" t="s">
        <v>5</v>
      </c>
    </row>
    <row r="198" spans="1:7" x14ac:dyDescent="0.25">
      <c r="A198" s="5" t="s">
        <v>204</v>
      </c>
      <c r="B198" s="5" t="s">
        <v>7</v>
      </c>
      <c r="C198">
        <v>3</v>
      </c>
      <c r="D198">
        <v>1</v>
      </c>
      <c r="E198">
        <v>26632</v>
      </c>
      <c r="F198">
        <v>110</v>
      </c>
      <c r="G198" s="5" t="s">
        <v>5</v>
      </c>
    </row>
    <row r="199" spans="1:7" x14ac:dyDescent="0.25">
      <c r="A199" s="5" t="s">
        <v>205</v>
      </c>
      <c r="B199" s="5" t="s">
        <v>4</v>
      </c>
      <c r="C199">
        <v>3</v>
      </c>
      <c r="D199">
        <v>1</v>
      </c>
      <c r="E199">
        <v>50673</v>
      </c>
      <c r="F199">
        <v>61</v>
      </c>
      <c r="G199" s="5" t="s">
        <v>5</v>
      </c>
    </row>
    <row r="200" spans="1:7" x14ac:dyDescent="0.25">
      <c r="A200" s="5" t="s">
        <v>206</v>
      </c>
      <c r="B200" s="5" t="s">
        <v>7</v>
      </c>
      <c r="C200">
        <v>2</v>
      </c>
      <c r="D200">
        <v>1</v>
      </c>
      <c r="E200">
        <v>26693</v>
      </c>
      <c r="F200">
        <v>102</v>
      </c>
      <c r="G200" s="5" t="s">
        <v>5</v>
      </c>
    </row>
    <row r="201" spans="1:7" x14ac:dyDescent="0.25">
      <c r="A201" s="5" t="s">
        <v>207</v>
      </c>
      <c r="B201" s="5" t="s">
        <v>7</v>
      </c>
      <c r="C201">
        <v>2</v>
      </c>
      <c r="D201">
        <v>1</v>
      </c>
      <c r="E201">
        <v>50175</v>
      </c>
      <c r="F201">
        <v>90</v>
      </c>
      <c r="G201" s="5" t="s">
        <v>13</v>
      </c>
    </row>
    <row r="202" spans="1:7" x14ac:dyDescent="0.25">
      <c r="A202" s="5" t="s">
        <v>208</v>
      </c>
      <c r="B202" s="5" t="s">
        <v>4</v>
      </c>
      <c r="C202">
        <v>2</v>
      </c>
      <c r="D202">
        <v>1</v>
      </c>
      <c r="E202">
        <v>49876</v>
      </c>
      <c r="F202">
        <v>119</v>
      </c>
      <c r="G202" s="5" t="s">
        <v>5</v>
      </c>
    </row>
    <row r="203" spans="1:7" x14ac:dyDescent="0.25">
      <c r="A203" s="5" t="s">
        <v>209</v>
      </c>
      <c r="B203" s="5" t="s">
        <v>7</v>
      </c>
      <c r="C203">
        <v>2</v>
      </c>
      <c r="D203">
        <v>1</v>
      </c>
      <c r="E203">
        <v>25360</v>
      </c>
      <c r="F203">
        <v>107</v>
      </c>
      <c r="G203" s="5" t="s">
        <v>8</v>
      </c>
    </row>
    <row r="204" spans="1:7" x14ac:dyDescent="0.25">
      <c r="A204" s="5" t="s">
        <v>210</v>
      </c>
      <c r="B204" s="5" t="s">
        <v>4</v>
      </c>
      <c r="C204">
        <v>1</v>
      </c>
      <c r="D204">
        <v>1</v>
      </c>
      <c r="E204">
        <v>25043</v>
      </c>
      <c r="F204">
        <v>82</v>
      </c>
      <c r="G204" s="5" t="s">
        <v>8</v>
      </c>
    </row>
    <row r="205" spans="1:7" x14ac:dyDescent="0.25">
      <c r="A205" s="5" t="s">
        <v>211</v>
      </c>
      <c r="B205" s="5" t="s">
        <v>4</v>
      </c>
      <c r="C205">
        <v>2</v>
      </c>
      <c r="D205">
        <v>1</v>
      </c>
      <c r="E205">
        <v>24327</v>
      </c>
      <c r="F205">
        <v>79</v>
      </c>
      <c r="G205" s="5" t="s">
        <v>5</v>
      </c>
    </row>
    <row r="206" spans="1:7" x14ac:dyDescent="0.25">
      <c r="A206" s="5" t="s">
        <v>212</v>
      </c>
      <c r="B206" s="5" t="s">
        <v>4</v>
      </c>
      <c r="C206">
        <v>2</v>
      </c>
      <c r="D206">
        <v>1</v>
      </c>
      <c r="E206">
        <v>24374</v>
      </c>
      <c r="F206">
        <v>73</v>
      </c>
      <c r="G206" s="5" t="s">
        <v>5</v>
      </c>
    </row>
    <row r="207" spans="1:7" x14ac:dyDescent="0.25">
      <c r="A207" s="5" t="s">
        <v>213</v>
      </c>
      <c r="B207" s="5" t="s">
        <v>7</v>
      </c>
      <c r="C207">
        <v>1</v>
      </c>
      <c r="D207">
        <v>1</v>
      </c>
      <c r="E207">
        <v>49681</v>
      </c>
      <c r="F207">
        <v>11</v>
      </c>
      <c r="G207" s="5" t="s">
        <v>8</v>
      </c>
    </row>
    <row r="208" spans="1:7" x14ac:dyDescent="0.25">
      <c r="A208" s="5" t="s">
        <v>214</v>
      </c>
      <c r="B208" s="5" t="s">
        <v>4</v>
      </c>
      <c r="C208">
        <v>2</v>
      </c>
      <c r="D208">
        <v>1</v>
      </c>
      <c r="E208">
        <v>22238</v>
      </c>
      <c r="F208">
        <v>50</v>
      </c>
      <c r="G208" s="5" t="s">
        <v>8</v>
      </c>
    </row>
    <row r="209" spans="1:7" x14ac:dyDescent="0.25">
      <c r="A209" s="5" t="s">
        <v>215</v>
      </c>
      <c r="B209" s="5" t="s">
        <v>4</v>
      </c>
      <c r="C209">
        <v>2</v>
      </c>
      <c r="D209">
        <v>1</v>
      </c>
      <c r="E209">
        <v>27675</v>
      </c>
      <c r="F209">
        <v>79</v>
      </c>
      <c r="G209" s="5" t="s">
        <v>8</v>
      </c>
    </row>
    <row r="210" spans="1:7" x14ac:dyDescent="0.25">
      <c r="A210" s="5" t="s">
        <v>216</v>
      </c>
      <c r="B210" s="5" t="s">
        <v>4</v>
      </c>
      <c r="C210">
        <v>1</v>
      </c>
      <c r="D210">
        <v>1</v>
      </c>
      <c r="E210">
        <v>22963</v>
      </c>
      <c r="F210">
        <v>30</v>
      </c>
      <c r="G210" s="5" t="s">
        <v>5</v>
      </c>
    </row>
    <row r="211" spans="1:7" x14ac:dyDescent="0.25">
      <c r="A211" s="5" t="s">
        <v>217</v>
      </c>
      <c r="B211" s="5" t="s">
        <v>7</v>
      </c>
      <c r="C211">
        <v>4</v>
      </c>
      <c r="D211">
        <v>1</v>
      </c>
      <c r="E211">
        <v>24754</v>
      </c>
      <c r="F211">
        <v>74</v>
      </c>
      <c r="G211" s="5" t="s">
        <v>5</v>
      </c>
    </row>
    <row r="212" spans="1:7" x14ac:dyDescent="0.25">
      <c r="A212" s="5" t="s">
        <v>218</v>
      </c>
      <c r="B212" s="5" t="s">
        <v>7</v>
      </c>
      <c r="C212">
        <v>3</v>
      </c>
      <c r="D212">
        <v>1</v>
      </c>
      <c r="E212">
        <v>78957</v>
      </c>
      <c r="F212">
        <v>60</v>
      </c>
      <c r="G212" s="5" t="s">
        <v>13</v>
      </c>
    </row>
    <row r="213" spans="1:7" x14ac:dyDescent="0.25">
      <c r="A213" s="5" t="s">
        <v>219</v>
      </c>
      <c r="B213" s="5" t="s">
        <v>4</v>
      </c>
      <c r="C213">
        <v>2</v>
      </c>
      <c r="D213">
        <v>1</v>
      </c>
      <c r="E213">
        <v>49772</v>
      </c>
      <c r="F213">
        <v>119</v>
      </c>
      <c r="G213" s="5" t="s">
        <v>5</v>
      </c>
    </row>
    <row r="214" spans="1:7" x14ac:dyDescent="0.25">
      <c r="A214" s="5" t="s">
        <v>220</v>
      </c>
      <c r="B214" s="5" t="s">
        <v>4</v>
      </c>
      <c r="C214">
        <v>3</v>
      </c>
      <c r="D214">
        <v>1</v>
      </c>
      <c r="E214">
        <v>10016</v>
      </c>
      <c r="F214">
        <v>94</v>
      </c>
      <c r="G214" s="5" t="s">
        <v>8</v>
      </c>
    </row>
    <row r="215" spans="1:7" x14ac:dyDescent="0.25">
      <c r="A215" s="5" t="s">
        <v>221</v>
      </c>
      <c r="B215" s="5" t="s">
        <v>4</v>
      </c>
      <c r="C215">
        <v>3</v>
      </c>
      <c r="D215">
        <v>1</v>
      </c>
      <c r="E215">
        <v>26606</v>
      </c>
      <c r="F215">
        <v>49</v>
      </c>
      <c r="G215" s="5" t="s">
        <v>13</v>
      </c>
    </row>
    <row r="216" spans="1:7" x14ac:dyDescent="0.25">
      <c r="A216" s="5" t="s">
        <v>222</v>
      </c>
      <c r="B216" s="5" t="s">
        <v>4</v>
      </c>
      <c r="C216">
        <v>2</v>
      </c>
      <c r="D216">
        <v>1</v>
      </c>
      <c r="E216">
        <v>11054</v>
      </c>
      <c r="F216">
        <v>111</v>
      </c>
      <c r="G216" s="5" t="s">
        <v>8</v>
      </c>
    </row>
    <row r="217" spans="1:7" x14ac:dyDescent="0.25">
      <c r="A217" s="5" t="s">
        <v>223</v>
      </c>
      <c r="B217" s="5" t="s">
        <v>7</v>
      </c>
      <c r="C217">
        <v>3</v>
      </c>
      <c r="D217">
        <v>1</v>
      </c>
      <c r="E217">
        <v>78981</v>
      </c>
      <c r="F217">
        <v>115</v>
      </c>
      <c r="G217" s="5" t="s">
        <v>8</v>
      </c>
    </row>
    <row r="218" spans="1:7" x14ac:dyDescent="0.25">
      <c r="A218" s="5" t="s">
        <v>224</v>
      </c>
      <c r="B218" s="5" t="s">
        <v>7</v>
      </c>
      <c r="C218">
        <v>2</v>
      </c>
      <c r="D218">
        <v>1</v>
      </c>
      <c r="E218">
        <v>52087</v>
      </c>
      <c r="F218">
        <v>69</v>
      </c>
      <c r="G218" s="5" t="s">
        <v>5</v>
      </c>
    </row>
    <row r="219" spans="1:7" x14ac:dyDescent="0.25">
      <c r="A219" s="5" t="s">
        <v>225</v>
      </c>
      <c r="B219" s="5" t="s">
        <v>7</v>
      </c>
      <c r="C219">
        <v>2</v>
      </c>
      <c r="D219">
        <v>1</v>
      </c>
      <c r="E219">
        <v>51179</v>
      </c>
      <c r="F219">
        <v>20</v>
      </c>
      <c r="G219" s="5" t="s">
        <v>5</v>
      </c>
    </row>
    <row r="220" spans="1:7" x14ac:dyDescent="0.25">
      <c r="A220" s="5" t="s">
        <v>226</v>
      </c>
      <c r="B220" s="5" t="s">
        <v>4</v>
      </c>
      <c r="C220">
        <v>3</v>
      </c>
      <c r="D220">
        <v>1</v>
      </c>
      <c r="E220">
        <v>26082</v>
      </c>
      <c r="F220">
        <v>111</v>
      </c>
      <c r="G220" s="5" t="s">
        <v>13</v>
      </c>
    </row>
    <row r="221" spans="1:7" x14ac:dyDescent="0.25">
      <c r="A221" s="5" t="s">
        <v>227</v>
      </c>
      <c r="B221" s="5" t="s">
        <v>4</v>
      </c>
      <c r="C221">
        <v>3</v>
      </c>
      <c r="D221">
        <v>1</v>
      </c>
      <c r="E221">
        <v>50576</v>
      </c>
      <c r="F221">
        <v>112</v>
      </c>
      <c r="G221" s="5" t="s">
        <v>8</v>
      </c>
    </row>
    <row r="222" spans="1:7" x14ac:dyDescent="0.25">
      <c r="A222" s="5" t="s">
        <v>228</v>
      </c>
      <c r="B222" s="5" t="s">
        <v>7</v>
      </c>
      <c r="C222">
        <v>3</v>
      </c>
      <c r="D222">
        <v>1</v>
      </c>
      <c r="E222">
        <v>24412</v>
      </c>
      <c r="F222">
        <v>117</v>
      </c>
      <c r="G222" s="5" t="s">
        <v>5</v>
      </c>
    </row>
    <row r="223" spans="1:7" x14ac:dyDescent="0.25">
      <c r="A223" s="5" t="s">
        <v>229</v>
      </c>
      <c r="B223" s="5" t="s">
        <v>7</v>
      </c>
      <c r="C223">
        <v>1</v>
      </c>
      <c r="D223">
        <v>1</v>
      </c>
      <c r="E223">
        <v>25776</v>
      </c>
      <c r="F223">
        <v>29</v>
      </c>
      <c r="G223" s="5" t="s">
        <v>5</v>
      </c>
    </row>
    <row r="224" spans="1:7" x14ac:dyDescent="0.25">
      <c r="A224" s="5" t="s">
        <v>230</v>
      </c>
      <c r="B224" s="5" t="s">
        <v>4</v>
      </c>
      <c r="C224">
        <v>2</v>
      </c>
      <c r="D224">
        <v>1</v>
      </c>
      <c r="E224">
        <v>9676</v>
      </c>
      <c r="F224">
        <v>48</v>
      </c>
      <c r="G224" s="5" t="s">
        <v>5</v>
      </c>
    </row>
    <row r="225" spans="1:7" x14ac:dyDescent="0.25">
      <c r="A225" s="5" t="s">
        <v>231</v>
      </c>
      <c r="B225" s="5" t="s">
        <v>7</v>
      </c>
      <c r="C225">
        <v>1</v>
      </c>
      <c r="D225">
        <v>1</v>
      </c>
      <c r="E225">
        <v>48555</v>
      </c>
      <c r="F225">
        <v>83</v>
      </c>
      <c r="G225" s="5" t="s">
        <v>8</v>
      </c>
    </row>
    <row r="226" spans="1:7" x14ac:dyDescent="0.25">
      <c r="A226" s="5" t="s">
        <v>232</v>
      </c>
      <c r="B226" s="5" t="s">
        <v>7</v>
      </c>
      <c r="C226">
        <v>4</v>
      </c>
      <c r="D226">
        <v>1</v>
      </c>
      <c r="E226">
        <v>52050</v>
      </c>
      <c r="F226">
        <v>36</v>
      </c>
      <c r="G226" s="5" t="s">
        <v>8</v>
      </c>
    </row>
    <row r="227" spans="1:7" x14ac:dyDescent="0.25">
      <c r="A227" s="5" t="s">
        <v>233</v>
      </c>
      <c r="B227" s="5" t="s">
        <v>4</v>
      </c>
      <c r="C227">
        <v>3</v>
      </c>
      <c r="D227">
        <v>1</v>
      </c>
      <c r="E227">
        <v>51888</v>
      </c>
      <c r="F227">
        <v>50</v>
      </c>
      <c r="G227" s="5" t="s">
        <v>13</v>
      </c>
    </row>
    <row r="228" spans="1:7" x14ac:dyDescent="0.25">
      <c r="A228" s="5" t="s">
        <v>234</v>
      </c>
      <c r="B228" s="5" t="s">
        <v>7</v>
      </c>
      <c r="C228">
        <v>2</v>
      </c>
      <c r="D228">
        <v>1</v>
      </c>
      <c r="E228">
        <v>12027</v>
      </c>
      <c r="F228">
        <v>90</v>
      </c>
      <c r="G228" s="5" t="s">
        <v>8</v>
      </c>
    </row>
    <row r="229" spans="1:7" x14ac:dyDescent="0.25">
      <c r="A229" s="5" t="s">
        <v>235</v>
      </c>
      <c r="B229" s="5" t="s">
        <v>4</v>
      </c>
      <c r="C229">
        <v>3</v>
      </c>
      <c r="D229">
        <v>1</v>
      </c>
      <c r="E229">
        <v>12523</v>
      </c>
      <c r="F229">
        <v>119</v>
      </c>
      <c r="G229" s="5" t="s">
        <v>8</v>
      </c>
    </row>
    <row r="230" spans="1:7" x14ac:dyDescent="0.25">
      <c r="A230" s="5" t="s">
        <v>236</v>
      </c>
      <c r="B230" s="5" t="s">
        <v>7</v>
      </c>
      <c r="C230">
        <v>1</v>
      </c>
      <c r="D230">
        <v>1</v>
      </c>
      <c r="E230">
        <v>24709</v>
      </c>
      <c r="F230">
        <v>82</v>
      </c>
      <c r="G230" s="5" t="s">
        <v>5</v>
      </c>
    </row>
    <row r="231" spans="1:7" x14ac:dyDescent="0.25">
      <c r="A231" s="5" t="s">
        <v>237</v>
      </c>
      <c r="B231" s="5" t="s">
        <v>7</v>
      </c>
      <c r="C231">
        <v>3</v>
      </c>
      <c r="D231">
        <v>1</v>
      </c>
      <c r="E231">
        <v>11497</v>
      </c>
      <c r="F231">
        <v>49</v>
      </c>
      <c r="G231" s="5" t="s">
        <v>8</v>
      </c>
    </row>
    <row r="232" spans="1:7" x14ac:dyDescent="0.25">
      <c r="A232" s="5" t="s">
        <v>238</v>
      </c>
      <c r="B232" s="5" t="s">
        <v>7</v>
      </c>
      <c r="C232">
        <v>3</v>
      </c>
      <c r="D232">
        <v>1</v>
      </c>
      <c r="E232">
        <v>49538</v>
      </c>
      <c r="F232">
        <v>23</v>
      </c>
      <c r="G232" s="5" t="s">
        <v>8</v>
      </c>
    </row>
    <row r="233" spans="1:7" x14ac:dyDescent="0.25">
      <c r="A233" s="5" t="s">
        <v>239</v>
      </c>
      <c r="B233" s="5" t="s">
        <v>7</v>
      </c>
      <c r="C233">
        <v>3</v>
      </c>
      <c r="D233">
        <v>1</v>
      </c>
      <c r="E233">
        <v>78413</v>
      </c>
      <c r="F233">
        <v>63</v>
      </c>
      <c r="G233" s="5" t="s">
        <v>13</v>
      </c>
    </row>
    <row r="234" spans="1:7" x14ac:dyDescent="0.25">
      <c r="A234" s="5" t="s">
        <v>240</v>
      </c>
      <c r="B234" s="5" t="s">
        <v>4</v>
      </c>
      <c r="C234">
        <v>3</v>
      </c>
      <c r="D234">
        <v>1</v>
      </c>
      <c r="E234">
        <v>26055</v>
      </c>
      <c r="F234">
        <v>70</v>
      </c>
      <c r="G234" s="5" t="s">
        <v>8</v>
      </c>
    </row>
    <row r="235" spans="1:7" x14ac:dyDescent="0.25">
      <c r="A235" s="5" t="s">
        <v>241</v>
      </c>
      <c r="B235" s="5" t="s">
        <v>7</v>
      </c>
      <c r="C235">
        <v>2</v>
      </c>
      <c r="D235">
        <v>1</v>
      </c>
      <c r="E235">
        <v>25255</v>
      </c>
      <c r="F235">
        <v>67</v>
      </c>
      <c r="G235" s="5" t="s">
        <v>13</v>
      </c>
    </row>
    <row r="236" spans="1:7" x14ac:dyDescent="0.25">
      <c r="A236" s="5" t="s">
        <v>242</v>
      </c>
      <c r="B236" s="5" t="s">
        <v>7</v>
      </c>
      <c r="C236">
        <v>1</v>
      </c>
      <c r="D236">
        <v>1</v>
      </c>
      <c r="E236">
        <v>10060</v>
      </c>
      <c r="F236">
        <v>81</v>
      </c>
      <c r="G236" s="5" t="s">
        <v>13</v>
      </c>
    </row>
    <row r="237" spans="1:7" x14ac:dyDescent="0.25">
      <c r="A237" s="5" t="s">
        <v>243</v>
      </c>
      <c r="B237" s="5" t="s">
        <v>7</v>
      </c>
      <c r="C237">
        <v>2</v>
      </c>
      <c r="D237">
        <v>1</v>
      </c>
      <c r="E237">
        <v>7963</v>
      </c>
      <c r="F237">
        <v>51</v>
      </c>
      <c r="G237" s="5" t="s">
        <v>13</v>
      </c>
    </row>
    <row r="238" spans="1:7" x14ac:dyDescent="0.25">
      <c r="A238" s="5" t="s">
        <v>244</v>
      </c>
      <c r="B238" s="5" t="s">
        <v>7</v>
      </c>
      <c r="C238">
        <v>5</v>
      </c>
      <c r="D238">
        <v>1</v>
      </c>
      <c r="E238">
        <v>25398</v>
      </c>
      <c r="F238">
        <v>1</v>
      </c>
      <c r="G238" s="5" t="s">
        <v>8</v>
      </c>
    </row>
    <row r="239" spans="1:7" x14ac:dyDescent="0.25">
      <c r="A239" s="5" t="s">
        <v>245</v>
      </c>
      <c r="B239" s="5" t="s">
        <v>7</v>
      </c>
      <c r="C239">
        <v>1</v>
      </c>
      <c r="D239">
        <v>1</v>
      </c>
      <c r="E239">
        <v>51217</v>
      </c>
      <c r="F239">
        <v>57</v>
      </c>
      <c r="G239" s="5" t="s">
        <v>5</v>
      </c>
    </row>
    <row r="240" spans="1:7" x14ac:dyDescent="0.25">
      <c r="A240" s="5" t="s">
        <v>246</v>
      </c>
      <c r="B240" s="5" t="s">
        <v>7</v>
      </c>
      <c r="C240">
        <v>1</v>
      </c>
      <c r="D240">
        <v>1</v>
      </c>
      <c r="E240">
        <v>10498</v>
      </c>
      <c r="F240">
        <v>70</v>
      </c>
      <c r="G240" s="5" t="s">
        <v>5</v>
      </c>
    </row>
    <row r="241" spans="1:7" x14ac:dyDescent="0.25">
      <c r="A241" s="5" t="s">
        <v>247</v>
      </c>
      <c r="B241" s="5" t="s">
        <v>7</v>
      </c>
      <c r="C241">
        <v>2</v>
      </c>
      <c r="D241">
        <v>1</v>
      </c>
      <c r="E241">
        <v>25542</v>
      </c>
      <c r="F241">
        <v>60</v>
      </c>
      <c r="G241" s="5" t="s">
        <v>13</v>
      </c>
    </row>
    <row r="242" spans="1:7" x14ac:dyDescent="0.25">
      <c r="A242" s="5" t="s">
        <v>248</v>
      </c>
      <c r="B242" s="5" t="s">
        <v>7</v>
      </c>
      <c r="C242">
        <v>3</v>
      </c>
      <c r="D242">
        <v>1</v>
      </c>
      <c r="E242">
        <v>7493</v>
      </c>
      <c r="F242">
        <v>8</v>
      </c>
      <c r="G242" s="5" t="s">
        <v>5</v>
      </c>
    </row>
    <row r="243" spans="1:7" x14ac:dyDescent="0.25">
      <c r="A243" s="5" t="s">
        <v>249</v>
      </c>
      <c r="B243" s="5" t="s">
        <v>7</v>
      </c>
      <c r="C243">
        <v>3</v>
      </c>
      <c r="D243">
        <v>1</v>
      </c>
      <c r="E243">
        <v>79145</v>
      </c>
      <c r="F243">
        <v>64</v>
      </c>
      <c r="G243" s="5" t="s">
        <v>8</v>
      </c>
    </row>
    <row r="244" spans="1:7" x14ac:dyDescent="0.25">
      <c r="A244" s="5" t="s">
        <v>250</v>
      </c>
      <c r="B244" s="5" t="s">
        <v>7</v>
      </c>
      <c r="C244">
        <v>2</v>
      </c>
      <c r="D244">
        <v>1</v>
      </c>
      <c r="E244">
        <v>80412</v>
      </c>
      <c r="F244">
        <v>25</v>
      </c>
      <c r="G244" s="5" t="s">
        <v>13</v>
      </c>
    </row>
    <row r="245" spans="1:7" x14ac:dyDescent="0.25">
      <c r="A245" s="5" t="s">
        <v>251</v>
      </c>
      <c r="B245" s="5" t="s">
        <v>4</v>
      </c>
      <c r="C245">
        <v>3</v>
      </c>
      <c r="D245">
        <v>1</v>
      </c>
      <c r="E245">
        <v>26505</v>
      </c>
      <c r="F245">
        <v>111</v>
      </c>
      <c r="G245" s="5" t="s">
        <v>5</v>
      </c>
    </row>
    <row r="246" spans="1:7" x14ac:dyDescent="0.25">
      <c r="A246" s="5" t="s">
        <v>252</v>
      </c>
      <c r="B246" s="5" t="s">
        <v>4</v>
      </c>
      <c r="C246">
        <v>2</v>
      </c>
      <c r="D246">
        <v>1</v>
      </c>
      <c r="E246">
        <v>24365</v>
      </c>
      <c r="F246">
        <v>34</v>
      </c>
      <c r="G246" s="5" t="s">
        <v>8</v>
      </c>
    </row>
    <row r="247" spans="1:7" x14ac:dyDescent="0.25">
      <c r="A247" s="5" t="s">
        <v>253</v>
      </c>
      <c r="B247" s="5" t="s">
        <v>4</v>
      </c>
      <c r="C247">
        <v>1</v>
      </c>
      <c r="D247">
        <v>1</v>
      </c>
      <c r="E247">
        <v>8621</v>
      </c>
      <c r="F247">
        <v>91</v>
      </c>
      <c r="G247" s="5" t="s">
        <v>5</v>
      </c>
    </row>
    <row r="248" spans="1:7" x14ac:dyDescent="0.25">
      <c r="A248" s="5" t="s">
        <v>254</v>
      </c>
      <c r="B248" s="5" t="s">
        <v>7</v>
      </c>
      <c r="C248">
        <v>4</v>
      </c>
      <c r="D248">
        <v>1</v>
      </c>
      <c r="E248">
        <v>25683</v>
      </c>
      <c r="F248">
        <v>110</v>
      </c>
      <c r="G248" s="5" t="s">
        <v>5</v>
      </c>
    </row>
    <row r="249" spans="1:7" x14ac:dyDescent="0.25">
      <c r="A249" s="5" t="s">
        <v>255</v>
      </c>
      <c r="B249" s="5" t="s">
        <v>7</v>
      </c>
      <c r="C249">
        <v>3</v>
      </c>
      <c r="D249">
        <v>1</v>
      </c>
      <c r="E249">
        <v>10982</v>
      </c>
      <c r="F249">
        <v>91</v>
      </c>
      <c r="G249" s="5" t="s">
        <v>8</v>
      </c>
    </row>
    <row r="250" spans="1:7" x14ac:dyDescent="0.25">
      <c r="A250" s="5" t="s">
        <v>256</v>
      </c>
      <c r="B250" s="5" t="s">
        <v>7</v>
      </c>
      <c r="C250">
        <v>1</v>
      </c>
      <c r="D250">
        <v>1</v>
      </c>
      <c r="E250">
        <v>10030</v>
      </c>
      <c r="F250">
        <v>90</v>
      </c>
      <c r="G250" s="5" t="s">
        <v>13</v>
      </c>
    </row>
    <row r="251" spans="1:7" x14ac:dyDescent="0.25">
      <c r="A251" s="5" t="s">
        <v>257</v>
      </c>
      <c r="B251" s="5" t="s">
        <v>7</v>
      </c>
      <c r="C251">
        <v>4</v>
      </c>
      <c r="D251">
        <v>1</v>
      </c>
      <c r="E251">
        <v>7905</v>
      </c>
      <c r="F251">
        <v>92</v>
      </c>
      <c r="G251" s="5" t="s">
        <v>5</v>
      </c>
    </row>
    <row r="252" spans="1:7" x14ac:dyDescent="0.25">
      <c r="A252" s="5" t="s">
        <v>258</v>
      </c>
      <c r="B252" s="5" t="s">
        <v>7</v>
      </c>
      <c r="C252">
        <v>3</v>
      </c>
      <c r="D252">
        <v>1</v>
      </c>
      <c r="E252">
        <v>24605</v>
      </c>
      <c r="F252">
        <v>50</v>
      </c>
      <c r="G252" s="5" t="s">
        <v>8</v>
      </c>
    </row>
    <row r="253" spans="1:7" x14ac:dyDescent="0.25">
      <c r="A253" s="5" t="s">
        <v>259</v>
      </c>
      <c r="B253" s="5" t="s">
        <v>4</v>
      </c>
      <c r="C253">
        <v>4</v>
      </c>
      <c r="D253">
        <v>1</v>
      </c>
      <c r="E253">
        <v>9201</v>
      </c>
      <c r="F253">
        <v>20</v>
      </c>
      <c r="G253" s="5" t="s">
        <v>13</v>
      </c>
    </row>
    <row r="254" spans="1:7" x14ac:dyDescent="0.25">
      <c r="A254" s="5" t="s">
        <v>260</v>
      </c>
      <c r="B254" s="5" t="s">
        <v>7</v>
      </c>
      <c r="C254">
        <v>2</v>
      </c>
      <c r="D254">
        <v>1</v>
      </c>
      <c r="E254">
        <v>51777</v>
      </c>
      <c r="F254">
        <v>34</v>
      </c>
      <c r="G254" s="5" t="s">
        <v>13</v>
      </c>
    </row>
    <row r="255" spans="1:7" x14ac:dyDescent="0.25">
      <c r="A255" s="5" t="s">
        <v>261</v>
      </c>
      <c r="B255" s="5" t="s">
        <v>7</v>
      </c>
      <c r="C255">
        <v>4</v>
      </c>
      <c r="D255">
        <v>1</v>
      </c>
      <c r="E255">
        <v>79373</v>
      </c>
      <c r="F255">
        <v>23</v>
      </c>
      <c r="G255" s="5" t="s">
        <v>5</v>
      </c>
    </row>
    <row r="256" spans="1:7" x14ac:dyDescent="0.25">
      <c r="A256" s="5" t="s">
        <v>262</v>
      </c>
      <c r="B256" s="5" t="s">
        <v>4</v>
      </c>
      <c r="C256">
        <v>2</v>
      </c>
      <c r="D256">
        <v>1</v>
      </c>
      <c r="E256">
        <v>10274</v>
      </c>
      <c r="F256">
        <v>43</v>
      </c>
      <c r="G256" s="5" t="s">
        <v>5</v>
      </c>
    </row>
    <row r="257" spans="1:7" x14ac:dyDescent="0.25">
      <c r="A257" s="5" t="s">
        <v>263</v>
      </c>
      <c r="B257" s="5" t="s">
        <v>7</v>
      </c>
      <c r="C257">
        <v>2</v>
      </c>
      <c r="D257">
        <v>1</v>
      </c>
      <c r="E257">
        <v>9133</v>
      </c>
      <c r="F257">
        <v>6</v>
      </c>
      <c r="G257" s="5" t="s">
        <v>5</v>
      </c>
    </row>
    <row r="258" spans="1:7" x14ac:dyDescent="0.25">
      <c r="A258" s="5" t="s">
        <v>264</v>
      </c>
      <c r="B258" s="5" t="s">
        <v>7</v>
      </c>
      <c r="C258">
        <v>1</v>
      </c>
      <c r="D258">
        <v>1</v>
      </c>
      <c r="E258">
        <v>10651</v>
      </c>
      <c r="F258">
        <v>7</v>
      </c>
      <c r="G258" s="5" t="s">
        <v>8</v>
      </c>
    </row>
    <row r="259" spans="1:7" x14ac:dyDescent="0.25">
      <c r="A259" s="5" t="s">
        <v>265</v>
      </c>
      <c r="B259" s="5" t="s">
        <v>7</v>
      </c>
      <c r="C259">
        <v>3</v>
      </c>
      <c r="D259">
        <v>1</v>
      </c>
      <c r="E259">
        <v>9654</v>
      </c>
      <c r="F259">
        <v>107</v>
      </c>
      <c r="G259" s="5" t="s">
        <v>5</v>
      </c>
    </row>
    <row r="260" spans="1:7" x14ac:dyDescent="0.25">
      <c r="A260" s="5" t="s">
        <v>266</v>
      </c>
      <c r="B260" s="5" t="s">
        <v>7</v>
      </c>
      <c r="C260">
        <v>4</v>
      </c>
      <c r="D260">
        <v>1</v>
      </c>
      <c r="E260">
        <v>48612</v>
      </c>
      <c r="F260">
        <v>12</v>
      </c>
      <c r="G260" s="5" t="s">
        <v>13</v>
      </c>
    </row>
    <row r="261" spans="1:7" x14ac:dyDescent="0.25">
      <c r="A261" s="5" t="s">
        <v>267</v>
      </c>
      <c r="B261" s="5" t="s">
        <v>7</v>
      </c>
      <c r="C261">
        <v>3</v>
      </c>
      <c r="D261">
        <v>1</v>
      </c>
      <c r="E261">
        <v>8848</v>
      </c>
      <c r="F261">
        <v>109</v>
      </c>
      <c r="G261" s="5" t="s">
        <v>8</v>
      </c>
    </row>
    <row r="262" spans="1:7" x14ac:dyDescent="0.25">
      <c r="A262" s="5" t="s">
        <v>268</v>
      </c>
      <c r="B262" s="5" t="s">
        <v>7</v>
      </c>
      <c r="C262">
        <v>2</v>
      </c>
      <c r="D262">
        <v>1</v>
      </c>
      <c r="E262">
        <v>80072</v>
      </c>
      <c r="F262">
        <v>82</v>
      </c>
      <c r="G262" s="5" t="s">
        <v>5</v>
      </c>
    </row>
    <row r="263" spans="1:7" x14ac:dyDescent="0.25">
      <c r="A263" s="5" t="s">
        <v>269</v>
      </c>
      <c r="B263" s="5" t="s">
        <v>7</v>
      </c>
      <c r="C263">
        <v>2</v>
      </c>
      <c r="D263">
        <v>1</v>
      </c>
      <c r="E263">
        <v>25753</v>
      </c>
      <c r="F263">
        <v>108</v>
      </c>
      <c r="G263" s="5" t="s">
        <v>8</v>
      </c>
    </row>
    <row r="264" spans="1:7" x14ac:dyDescent="0.25">
      <c r="A264" s="5" t="s">
        <v>270</v>
      </c>
      <c r="B264" s="5" t="s">
        <v>7</v>
      </c>
      <c r="C264">
        <v>3</v>
      </c>
      <c r="D264">
        <v>1</v>
      </c>
      <c r="E264">
        <v>51103</v>
      </c>
      <c r="F264">
        <v>119</v>
      </c>
      <c r="G264" s="5" t="s">
        <v>5</v>
      </c>
    </row>
    <row r="265" spans="1:7" x14ac:dyDescent="0.25">
      <c r="A265" s="5" t="s">
        <v>271</v>
      </c>
      <c r="B265" s="5" t="s">
        <v>4</v>
      </c>
      <c r="C265">
        <v>1</v>
      </c>
      <c r="D265">
        <v>1</v>
      </c>
      <c r="E265">
        <v>51528</v>
      </c>
      <c r="F265">
        <v>13</v>
      </c>
      <c r="G265" s="5" t="s">
        <v>8</v>
      </c>
    </row>
    <row r="266" spans="1:7" x14ac:dyDescent="0.25">
      <c r="A266" s="5" t="s">
        <v>272</v>
      </c>
      <c r="B266" s="5" t="s">
        <v>4</v>
      </c>
      <c r="C266">
        <v>4</v>
      </c>
      <c r="D266">
        <v>1</v>
      </c>
      <c r="E266">
        <v>26491</v>
      </c>
      <c r="F266">
        <v>11</v>
      </c>
      <c r="G266" s="5" t="s">
        <v>8</v>
      </c>
    </row>
    <row r="267" spans="1:7" x14ac:dyDescent="0.25">
      <c r="A267" s="5" t="s">
        <v>273</v>
      </c>
      <c r="B267" s="5" t="s">
        <v>4</v>
      </c>
      <c r="C267">
        <v>2</v>
      </c>
      <c r="D267">
        <v>1</v>
      </c>
      <c r="E267">
        <v>50342</v>
      </c>
      <c r="F267">
        <v>3</v>
      </c>
      <c r="G267" s="5" t="s">
        <v>13</v>
      </c>
    </row>
    <row r="268" spans="1:7" x14ac:dyDescent="0.25">
      <c r="A268" s="5" t="s">
        <v>274</v>
      </c>
      <c r="B268" s="5" t="s">
        <v>7</v>
      </c>
      <c r="C268">
        <v>4</v>
      </c>
      <c r="D268">
        <v>1</v>
      </c>
      <c r="E268">
        <v>49992</v>
      </c>
      <c r="F268">
        <v>28</v>
      </c>
      <c r="G268" s="5" t="s">
        <v>5</v>
      </c>
    </row>
    <row r="269" spans="1:7" x14ac:dyDescent="0.25">
      <c r="A269" s="5" t="s">
        <v>275</v>
      </c>
      <c r="B269" s="5" t="s">
        <v>7</v>
      </c>
      <c r="C269">
        <v>1</v>
      </c>
      <c r="D269">
        <v>1</v>
      </c>
      <c r="E269">
        <v>24078</v>
      </c>
      <c r="F269">
        <v>51</v>
      </c>
      <c r="G269" s="5" t="s">
        <v>5</v>
      </c>
    </row>
    <row r="270" spans="1:7" x14ac:dyDescent="0.25">
      <c r="A270" s="5" t="s">
        <v>276</v>
      </c>
      <c r="B270" s="5" t="s">
        <v>7</v>
      </c>
      <c r="C270">
        <v>4</v>
      </c>
      <c r="D270">
        <v>1</v>
      </c>
      <c r="E270">
        <v>49314</v>
      </c>
      <c r="F270">
        <v>65</v>
      </c>
      <c r="G270" s="5" t="s">
        <v>5</v>
      </c>
    </row>
    <row r="271" spans="1:7" x14ac:dyDescent="0.25">
      <c r="A271" s="5" t="s">
        <v>277</v>
      </c>
      <c r="B271" s="5" t="s">
        <v>7</v>
      </c>
      <c r="C271">
        <v>3</v>
      </c>
      <c r="D271">
        <v>1</v>
      </c>
      <c r="E271">
        <v>9407</v>
      </c>
      <c r="F271">
        <v>75</v>
      </c>
      <c r="G271" s="5" t="s">
        <v>5</v>
      </c>
    </row>
    <row r="272" spans="1:7" x14ac:dyDescent="0.25">
      <c r="A272" s="5" t="s">
        <v>278</v>
      </c>
      <c r="B272" s="5" t="s">
        <v>7</v>
      </c>
      <c r="C272">
        <v>2</v>
      </c>
      <c r="D272">
        <v>1</v>
      </c>
      <c r="E272">
        <v>25225</v>
      </c>
      <c r="F272">
        <v>18</v>
      </c>
      <c r="G272" s="5" t="s">
        <v>13</v>
      </c>
    </row>
    <row r="273" spans="1:7" x14ac:dyDescent="0.25">
      <c r="A273" s="5" t="s">
        <v>279</v>
      </c>
      <c r="B273" s="5" t="s">
        <v>7</v>
      </c>
      <c r="C273">
        <v>3</v>
      </c>
      <c r="D273">
        <v>1</v>
      </c>
      <c r="E273">
        <v>25089</v>
      </c>
      <c r="F273">
        <v>90</v>
      </c>
      <c r="G273" s="5" t="s">
        <v>5</v>
      </c>
    </row>
    <row r="274" spans="1:7" x14ac:dyDescent="0.25">
      <c r="A274" s="5" t="s">
        <v>280</v>
      </c>
      <c r="B274" s="5" t="s">
        <v>7</v>
      </c>
      <c r="C274">
        <v>2</v>
      </c>
      <c r="D274">
        <v>1</v>
      </c>
      <c r="E274">
        <v>50489</v>
      </c>
      <c r="F274">
        <v>120</v>
      </c>
      <c r="G274" s="5" t="s">
        <v>5</v>
      </c>
    </row>
    <row r="275" spans="1:7" x14ac:dyDescent="0.25">
      <c r="A275" s="5" t="s">
        <v>281</v>
      </c>
      <c r="B275" s="5" t="s">
        <v>4</v>
      </c>
      <c r="C275">
        <v>3</v>
      </c>
      <c r="D275">
        <v>1</v>
      </c>
      <c r="E275">
        <v>10525</v>
      </c>
      <c r="F275">
        <v>98</v>
      </c>
      <c r="G275" s="5" t="s">
        <v>5</v>
      </c>
    </row>
    <row r="276" spans="1:7" x14ac:dyDescent="0.25">
      <c r="A276" s="5" t="s">
        <v>282</v>
      </c>
      <c r="B276" s="5" t="s">
        <v>4</v>
      </c>
      <c r="C276">
        <v>2</v>
      </c>
      <c r="D276">
        <v>1</v>
      </c>
      <c r="E276">
        <v>10548</v>
      </c>
      <c r="F276">
        <v>55</v>
      </c>
      <c r="G276" s="5" t="s">
        <v>13</v>
      </c>
    </row>
    <row r="277" spans="1:7" x14ac:dyDescent="0.25">
      <c r="A277" s="5" t="s">
        <v>283</v>
      </c>
      <c r="B277" s="5" t="s">
        <v>4</v>
      </c>
      <c r="C277">
        <v>1</v>
      </c>
      <c r="D277">
        <v>1</v>
      </c>
      <c r="E277">
        <v>51340</v>
      </c>
      <c r="F277">
        <v>44</v>
      </c>
      <c r="G277" s="5" t="s">
        <v>5</v>
      </c>
    </row>
    <row r="278" spans="1:7" x14ac:dyDescent="0.25">
      <c r="A278" s="5" t="s">
        <v>284</v>
      </c>
      <c r="B278" s="5" t="s">
        <v>4</v>
      </c>
      <c r="C278">
        <v>2</v>
      </c>
      <c r="D278">
        <v>1</v>
      </c>
      <c r="E278">
        <v>9280</v>
      </c>
      <c r="F278">
        <v>92</v>
      </c>
      <c r="G278" s="5" t="s">
        <v>13</v>
      </c>
    </row>
    <row r="279" spans="1:7" x14ac:dyDescent="0.25">
      <c r="A279" s="5" t="s">
        <v>285</v>
      </c>
      <c r="B279" s="5" t="s">
        <v>7</v>
      </c>
      <c r="C279">
        <v>3</v>
      </c>
      <c r="D279">
        <v>1</v>
      </c>
      <c r="E279">
        <v>7853</v>
      </c>
      <c r="F279">
        <v>46</v>
      </c>
      <c r="G279" s="5" t="s">
        <v>8</v>
      </c>
    </row>
    <row r="280" spans="1:7" x14ac:dyDescent="0.25">
      <c r="A280" s="5" t="s">
        <v>286</v>
      </c>
      <c r="B280" s="5" t="s">
        <v>4</v>
      </c>
      <c r="C280">
        <v>1</v>
      </c>
      <c r="D280">
        <v>1</v>
      </c>
      <c r="E280">
        <v>51568</v>
      </c>
      <c r="F280">
        <v>55</v>
      </c>
      <c r="G280" s="5" t="s">
        <v>5</v>
      </c>
    </row>
    <row r="281" spans="1:7" x14ac:dyDescent="0.25">
      <c r="A281" s="5" t="s">
        <v>287</v>
      </c>
      <c r="B281" s="5" t="s">
        <v>4</v>
      </c>
      <c r="C281">
        <v>3</v>
      </c>
      <c r="D281">
        <v>1</v>
      </c>
      <c r="E281">
        <v>49838</v>
      </c>
      <c r="F281">
        <v>43</v>
      </c>
      <c r="G281" s="5" t="s">
        <v>8</v>
      </c>
    </row>
    <row r="282" spans="1:7" x14ac:dyDescent="0.25">
      <c r="A282" s="5" t="s">
        <v>288</v>
      </c>
      <c r="B282" s="5" t="s">
        <v>4</v>
      </c>
      <c r="C282">
        <v>3</v>
      </c>
      <c r="D282">
        <v>1</v>
      </c>
      <c r="E282">
        <v>47601</v>
      </c>
      <c r="F282">
        <v>14</v>
      </c>
      <c r="G282" s="5" t="s">
        <v>13</v>
      </c>
    </row>
    <row r="283" spans="1:7" x14ac:dyDescent="0.25">
      <c r="A283" s="5" t="s">
        <v>289</v>
      </c>
      <c r="B283" s="5" t="s">
        <v>7</v>
      </c>
      <c r="C283">
        <v>2</v>
      </c>
      <c r="D283">
        <v>1</v>
      </c>
      <c r="E283">
        <v>49861</v>
      </c>
      <c r="F283">
        <v>94</v>
      </c>
      <c r="G283" s="5" t="s">
        <v>5</v>
      </c>
    </row>
    <row r="284" spans="1:7" x14ac:dyDescent="0.25">
      <c r="A284" s="5" t="s">
        <v>290</v>
      </c>
      <c r="B284" s="5" t="s">
        <v>4</v>
      </c>
      <c r="C284">
        <v>2</v>
      </c>
      <c r="D284">
        <v>1</v>
      </c>
      <c r="E284">
        <v>80750</v>
      </c>
      <c r="F284">
        <v>79</v>
      </c>
      <c r="G284" s="5" t="s">
        <v>8</v>
      </c>
    </row>
    <row r="285" spans="1:7" x14ac:dyDescent="0.25">
      <c r="A285" s="5" t="s">
        <v>291</v>
      </c>
      <c r="B285" s="5" t="s">
        <v>7</v>
      </c>
      <c r="C285">
        <v>4</v>
      </c>
      <c r="D285">
        <v>1</v>
      </c>
      <c r="E285">
        <v>47847</v>
      </c>
      <c r="F285">
        <v>114</v>
      </c>
      <c r="G285" s="5" t="s">
        <v>5</v>
      </c>
    </row>
    <row r="286" spans="1:7" x14ac:dyDescent="0.25">
      <c r="A286" s="5" t="s">
        <v>292</v>
      </c>
      <c r="B286" s="5" t="s">
        <v>7</v>
      </c>
      <c r="C286">
        <v>2</v>
      </c>
      <c r="D286">
        <v>1</v>
      </c>
      <c r="E286">
        <v>22205</v>
      </c>
      <c r="F286">
        <v>41</v>
      </c>
      <c r="G286" s="5" t="s">
        <v>13</v>
      </c>
    </row>
    <row r="287" spans="1:7" x14ac:dyDescent="0.25">
      <c r="A287" s="5" t="s">
        <v>293</v>
      </c>
      <c r="B287" s="5" t="s">
        <v>7</v>
      </c>
      <c r="C287">
        <v>1</v>
      </c>
      <c r="D287">
        <v>1</v>
      </c>
      <c r="E287">
        <v>22631</v>
      </c>
      <c r="F287">
        <v>42</v>
      </c>
      <c r="G287" s="5" t="s">
        <v>13</v>
      </c>
    </row>
    <row r="288" spans="1:7" x14ac:dyDescent="0.25">
      <c r="A288" s="5" t="s">
        <v>294</v>
      </c>
      <c r="B288" s="5" t="s">
        <v>4</v>
      </c>
      <c r="C288">
        <v>4</v>
      </c>
      <c r="D288">
        <v>1</v>
      </c>
      <c r="E288">
        <v>9161</v>
      </c>
      <c r="F288">
        <v>66</v>
      </c>
      <c r="G288" s="5" t="s">
        <v>8</v>
      </c>
    </row>
    <row r="289" spans="1:7" x14ac:dyDescent="0.25">
      <c r="A289" s="5" t="s">
        <v>295</v>
      </c>
      <c r="B289" s="5" t="s">
        <v>4</v>
      </c>
      <c r="C289">
        <v>2</v>
      </c>
      <c r="D289">
        <v>1</v>
      </c>
      <c r="E289">
        <v>26307</v>
      </c>
      <c r="F289">
        <v>1</v>
      </c>
      <c r="G289" s="5" t="s">
        <v>8</v>
      </c>
    </row>
    <row r="290" spans="1:7" x14ac:dyDescent="0.25">
      <c r="A290" s="5" t="s">
        <v>296</v>
      </c>
      <c r="B290" s="5" t="s">
        <v>7</v>
      </c>
      <c r="C290">
        <v>2</v>
      </c>
      <c r="D290">
        <v>1</v>
      </c>
      <c r="E290">
        <v>23757</v>
      </c>
      <c r="F290">
        <v>28</v>
      </c>
      <c r="G290" s="5" t="s">
        <v>13</v>
      </c>
    </row>
    <row r="291" spans="1:7" x14ac:dyDescent="0.25">
      <c r="A291" s="5" t="s">
        <v>297</v>
      </c>
      <c r="B291" s="5" t="s">
        <v>4</v>
      </c>
      <c r="C291">
        <v>5</v>
      </c>
      <c r="D291">
        <v>1</v>
      </c>
      <c r="E291">
        <v>9310</v>
      </c>
      <c r="F291">
        <v>21</v>
      </c>
      <c r="G291" s="5" t="s">
        <v>8</v>
      </c>
    </row>
    <row r="292" spans="1:7" x14ac:dyDescent="0.25">
      <c r="A292" s="5" t="s">
        <v>298</v>
      </c>
      <c r="B292" s="5" t="s">
        <v>7</v>
      </c>
      <c r="C292">
        <v>1</v>
      </c>
      <c r="D292">
        <v>1</v>
      </c>
      <c r="E292">
        <v>48598</v>
      </c>
      <c r="F292">
        <v>94</v>
      </c>
      <c r="G292" s="5" t="s">
        <v>5</v>
      </c>
    </row>
    <row r="293" spans="1:7" x14ac:dyDescent="0.25">
      <c r="A293" s="5" t="s">
        <v>299</v>
      </c>
      <c r="B293" s="5" t="s">
        <v>7</v>
      </c>
      <c r="C293">
        <v>2</v>
      </c>
      <c r="D293">
        <v>1</v>
      </c>
      <c r="E293">
        <v>50129</v>
      </c>
      <c r="F293">
        <v>26</v>
      </c>
      <c r="G293" s="5" t="s">
        <v>13</v>
      </c>
    </row>
    <row r="294" spans="1:7" x14ac:dyDescent="0.25">
      <c r="A294" s="5" t="s">
        <v>300</v>
      </c>
      <c r="B294" s="5" t="s">
        <v>4</v>
      </c>
      <c r="C294">
        <v>1</v>
      </c>
      <c r="D294">
        <v>1</v>
      </c>
      <c r="E294">
        <v>27761</v>
      </c>
      <c r="F294">
        <v>76</v>
      </c>
      <c r="G294" s="5" t="s">
        <v>13</v>
      </c>
    </row>
    <row r="295" spans="1:7" x14ac:dyDescent="0.25">
      <c r="A295" s="5" t="s">
        <v>301</v>
      </c>
      <c r="B295" s="5" t="s">
        <v>4</v>
      </c>
      <c r="C295">
        <v>2</v>
      </c>
      <c r="D295">
        <v>1</v>
      </c>
      <c r="E295">
        <v>25991</v>
      </c>
      <c r="F295">
        <v>24</v>
      </c>
      <c r="G295" s="5" t="s">
        <v>13</v>
      </c>
    </row>
    <row r="296" spans="1:7" x14ac:dyDescent="0.25">
      <c r="A296" s="5" t="s">
        <v>302</v>
      </c>
      <c r="B296" s="5" t="s">
        <v>4</v>
      </c>
      <c r="C296">
        <v>2</v>
      </c>
      <c r="D296">
        <v>1</v>
      </c>
      <c r="E296">
        <v>49148</v>
      </c>
      <c r="F296">
        <v>33</v>
      </c>
      <c r="G296" s="5" t="s">
        <v>5</v>
      </c>
    </row>
    <row r="297" spans="1:7" x14ac:dyDescent="0.25">
      <c r="A297" s="5" t="s">
        <v>303</v>
      </c>
      <c r="B297" s="5" t="s">
        <v>4</v>
      </c>
      <c r="C297">
        <v>2</v>
      </c>
      <c r="D297">
        <v>1</v>
      </c>
      <c r="E297">
        <v>78835</v>
      </c>
      <c r="F297">
        <v>36</v>
      </c>
      <c r="G297" s="5" t="s">
        <v>5</v>
      </c>
    </row>
    <row r="298" spans="1:7" x14ac:dyDescent="0.25">
      <c r="A298" s="5" t="s">
        <v>304</v>
      </c>
      <c r="B298" s="5" t="s">
        <v>4</v>
      </c>
      <c r="C298">
        <v>1</v>
      </c>
      <c r="D298">
        <v>1</v>
      </c>
      <c r="E298">
        <v>83207</v>
      </c>
      <c r="F298">
        <v>46</v>
      </c>
      <c r="G298" s="5" t="s">
        <v>8</v>
      </c>
    </row>
    <row r="299" spans="1:7" x14ac:dyDescent="0.25">
      <c r="A299" s="5" t="s">
        <v>305</v>
      </c>
      <c r="B299" s="5" t="s">
        <v>4</v>
      </c>
      <c r="C299">
        <v>4</v>
      </c>
      <c r="D299">
        <v>1</v>
      </c>
      <c r="E299">
        <v>25012</v>
      </c>
      <c r="F299">
        <v>71</v>
      </c>
      <c r="G299" s="5" t="s">
        <v>8</v>
      </c>
    </row>
    <row r="300" spans="1:7" x14ac:dyDescent="0.25">
      <c r="A300" s="5" t="s">
        <v>306</v>
      </c>
      <c r="B300" s="5" t="s">
        <v>7</v>
      </c>
      <c r="C300">
        <v>2</v>
      </c>
      <c r="D300">
        <v>1</v>
      </c>
      <c r="E300">
        <v>51557</v>
      </c>
      <c r="F300">
        <v>50</v>
      </c>
      <c r="G300" s="5" t="s">
        <v>13</v>
      </c>
    </row>
    <row r="301" spans="1:7" x14ac:dyDescent="0.25">
      <c r="A301" s="5" t="s">
        <v>307</v>
      </c>
      <c r="B301" s="5" t="s">
        <v>4</v>
      </c>
      <c r="C301">
        <v>4</v>
      </c>
      <c r="D301">
        <v>1</v>
      </c>
      <c r="E301">
        <v>11579</v>
      </c>
      <c r="F301">
        <v>92</v>
      </c>
      <c r="G301" s="5" t="s">
        <v>5</v>
      </c>
    </row>
    <row r="302" spans="1:7" x14ac:dyDescent="0.25">
      <c r="A302" s="5" t="s">
        <v>308</v>
      </c>
      <c r="B302" s="5" t="s">
        <v>7</v>
      </c>
      <c r="C302">
        <v>1</v>
      </c>
      <c r="D302">
        <v>1</v>
      </c>
      <c r="E302">
        <v>24490</v>
      </c>
      <c r="F302">
        <v>117</v>
      </c>
      <c r="G302" s="5" t="s">
        <v>13</v>
      </c>
    </row>
    <row r="303" spans="1:7" x14ac:dyDescent="0.25">
      <c r="A303" s="5" t="s">
        <v>309</v>
      </c>
      <c r="B303" s="5" t="s">
        <v>7</v>
      </c>
      <c r="C303">
        <v>3</v>
      </c>
      <c r="D303">
        <v>1</v>
      </c>
      <c r="E303">
        <v>24426</v>
      </c>
      <c r="F303">
        <v>90</v>
      </c>
      <c r="G303" s="5" t="s">
        <v>5</v>
      </c>
    </row>
    <row r="304" spans="1:7" x14ac:dyDescent="0.25">
      <c r="A304" s="5" t="s">
        <v>310</v>
      </c>
      <c r="B304" s="5" t="s">
        <v>4</v>
      </c>
      <c r="C304">
        <v>2</v>
      </c>
      <c r="D304">
        <v>1</v>
      </c>
      <c r="E304">
        <v>24342</v>
      </c>
      <c r="F304">
        <v>85</v>
      </c>
      <c r="G304" s="5" t="s">
        <v>13</v>
      </c>
    </row>
    <row r="305" spans="1:7" x14ac:dyDescent="0.25">
      <c r="A305" s="5" t="s">
        <v>311</v>
      </c>
      <c r="B305" s="5" t="s">
        <v>7</v>
      </c>
      <c r="C305">
        <v>2</v>
      </c>
      <c r="D305">
        <v>1</v>
      </c>
      <c r="E305">
        <v>79801</v>
      </c>
      <c r="F305">
        <v>12</v>
      </c>
      <c r="G305" s="5" t="s">
        <v>5</v>
      </c>
    </row>
    <row r="306" spans="1:7" x14ac:dyDescent="0.25">
      <c r="A306" s="5" t="s">
        <v>312</v>
      </c>
      <c r="B306" s="5" t="s">
        <v>7</v>
      </c>
      <c r="C306">
        <v>4</v>
      </c>
      <c r="D306">
        <v>1</v>
      </c>
      <c r="E306">
        <v>9903</v>
      </c>
      <c r="F306">
        <v>99</v>
      </c>
      <c r="G306" s="5" t="s">
        <v>13</v>
      </c>
    </row>
    <row r="307" spans="1:7" x14ac:dyDescent="0.25">
      <c r="A307" s="5" t="s">
        <v>313</v>
      </c>
      <c r="B307" s="5" t="s">
        <v>7</v>
      </c>
      <c r="C307">
        <v>1</v>
      </c>
      <c r="D307">
        <v>1</v>
      </c>
      <c r="E307">
        <v>12112</v>
      </c>
      <c r="F307">
        <v>117</v>
      </c>
      <c r="G307" s="5" t="s">
        <v>13</v>
      </c>
    </row>
    <row r="308" spans="1:7" x14ac:dyDescent="0.25">
      <c r="A308" s="5" t="s">
        <v>314</v>
      </c>
      <c r="B308" s="5" t="s">
        <v>7</v>
      </c>
      <c r="C308">
        <v>2</v>
      </c>
      <c r="D308">
        <v>1</v>
      </c>
      <c r="E308">
        <v>9682</v>
      </c>
      <c r="F308">
        <v>45</v>
      </c>
      <c r="G308" s="5" t="s">
        <v>13</v>
      </c>
    </row>
    <row r="309" spans="1:7" x14ac:dyDescent="0.25">
      <c r="A309" s="5" t="s">
        <v>315</v>
      </c>
      <c r="B309" s="5" t="s">
        <v>4</v>
      </c>
      <c r="C309">
        <v>2</v>
      </c>
      <c r="D309">
        <v>1</v>
      </c>
      <c r="E309">
        <v>8651</v>
      </c>
      <c r="F309">
        <v>84</v>
      </c>
      <c r="G309" s="5" t="s">
        <v>13</v>
      </c>
    </row>
    <row r="310" spans="1:7" x14ac:dyDescent="0.25">
      <c r="A310" s="5" t="s">
        <v>316</v>
      </c>
      <c r="B310" s="5" t="s">
        <v>7</v>
      </c>
      <c r="C310">
        <v>2</v>
      </c>
      <c r="D310">
        <v>1</v>
      </c>
      <c r="E310">
        <v>49090</v>
      </c>
      <c r="F310">
        <v>112</v>
      </c>
      <c r="G310" s="5" t="s">
        <v>5</v>
      </c>
    </row>
    <row r="311" spans="1:7" x14ac:dyDescent="0.25">
      <c r="A311" s="5" t="s">
        <v>317</v>
      </c>
      <c r="B311" s="5" t="s">
        <v>7</v>
      </c>
      <c r="C311">
        <v>1</v>
      </c>
      <c r="D311">
        <v>1</v>
      </c>
      <c r="E311">
        <v>26946</v>
      </c>
      <c r="F311">
        <v>92</v>
      </c>
      <c r="G311" s="5" t="s">
        <v>13</v>
      </c>
    </row>
    <row r="312" spans="1:7" x14ac:dyDescent="0.25">
      <c r="A312" s="5" t="s">
        <v>318</v>
      </c>
      <c r="B312" s="5" t="s">
        <v>4</v>
      </c>
      <c r="C312">
        <v>3</v>
      </c>
      <c r="D312">
        <v>1</v>
      </c>
      <c r="E312">
        <v>11080</v>
      </c>
      <c r="F312">
        <v>58</v>
      </c>
      <c r="G312" s="5" t="s">
        <v>13</v>
      </c>
    </row>
    <row r="313" spans="1:7" x14ac:dyDescent="0.25">
      <c r="A313" s="5" t="s">
        <v>319</v>
      </c>
      <c r="B313" s="5" t="s">
        <v>4</v>
      </c>
      <c r="C313">
        <v>2</v>
      </c>
      <c r="D313">
        <v>1</v>
      </c>
      <c r="E313">
        <v>24354</v>
      </c>
      <c r="F313">
        <v>76</v>
      </c>
      <c r="G313" s="5" t="s">
        <v>13</v>
      </c>
    </row>
    <row r="314" spans="1:7" x14ac:dyDescent="0.25">
      <c r="A314" s="5" t="s">
        <v>320</v>
      </c>
      <c r="B314" s="5" t="s">
        <v>7</v>
      </c>
      <c r="C314">
        <v>1</v>
      </c>
      <c r="D314">
        <v>1</v>
      </c>
      <c r="E314">
        <v>22996</v>
      </c>
      <c r="F314">
        <v>118</v>
      </c>
      <c r="G314" s="5" t="s">
        <v>5</v>
      </c>
    </row>
    <row r="315" spans="1:7" x14ac:dyDescent="0.25">
      <c r="A315" s="5" t="s">
        <v>321</v>
      </c>
      <c r="B315" s="5" t="s">
        <v>4</v>
      </c>
      <c r="C315">
        <v>2</v>
      </c>
      <c r="D315">
        <v>1</v>
      </c>
      <c r="E315">
        <v>48684</v>
      </c>
      <c r="F315">
        <v>74</v>
      </c>
      <c r="G315" s="5" t="s">
        <v>13</v>
      </c>
    </row>
    <row r="316" spans="1:7" x14ac:dyDescent="0.25">
      <c r="A316" s="5" t="s">
        <v>322</v>
      </c>
      <c r="B316" s="5" t="s">
        <v>4</v>
      </c>
      <c r="C316">
        <v>2</v>
      </c>
      <c r="D316">
        <v>1</v>
      </c>
      <c r="E316">
        <v>149852</v>
      </c>
      <c r="F316">
        <v>37</v>
      </c>
      <c r="G316" s="5" t="s">
        <v>5</v>
      </c>
    </row>
    <row r="317" spans="1:7" x14ac:dyDescent="0.25">
      <c r="A317" s="5" t="s">
        <v>323</v>
      </c>
      <c r="B317" s="5" t="s">
        <v>4</v>
      </c>
      <c r="C317">
        <v>2</v>
      </c>
      <c r="D317">
        <v>1</v>
      </c>
      <c r="E317">
        <v>50531</v>
      </c>
      <c r="F317">
        <v>100</v>
      </c>
      <c r="G317" s="5" t="s">
        <v>5</v>
      </c>
    </row>
    <row r="318" spans="1:7" x14ac:dyDescent="0.25">
      <c r="A318" s="5" t="s">
        <v>324</v>
      </c>
      <c r="B318" s="5" t="s">
        <v>7</v>
      </c>
      <c r="C318">
        <v>3</v>
      </c>
      <c r="D318">
        <v>1</v>
      </c>
      <c r="E318">
        <v>8782</v>
      </c>
      <c r="F318">
        <v>27</v>
      </c>
      <c r="G318" s="5" t="s">
        <v>5</v>
      </c>
    </row>
    <row r="319" spans="1:7" x14ac:dyDescent="0.25">
      <c r="A319" s="5" t="s">
        <v>325</v>
      </c>
      <c r="B319" s="5" t="s">
        <v>7</v>
      </c>
      <c r="C319">
        <v>3</v>
      </c>
      <c r="D319">
        <v>1</v>
      </c>
      <c r="E319">
        <v>9893</v>
      </c>
      <c r="F319">
        <v>74</v>
      </c>
      <c r="G319" s="5" t="s">
        <v>5</v>
      </c>
    </row>
    <row r="320" spans="1:7" x14ac:dyDescent="0.25">
      <c r="A320" s="5" t="s">
        <v>326</v>
      </c>
      <c r="B320" s="5" t="s">
        <v>4</v>
      </c>
      <c r="C320">
        <v>2</v>
      </c>
      <c r="D320">
        <v>1</v>
      </c>
      <c r="E320">
        <v>11682</v>
      </c>
      <c r="F320">
        <v>35</v>
      </c>
      <c r="G320" s="5" t="s">
        <v>13</v>
      </c>
    </row>
    <row r="321" spans="1:7" x14ac:dyDescent="0.25">
      <c r="A321" s="5" t="s">
        <v>327</v>
      </c>
      <c r="B321" s="5" t="s">
        <v>7</v>
      </c>
      <c r="C321">
        <v>3</v>
      </c>
      <c r="D321">
        <v>1</v>
      </c>
      <c r="E321">
        <v>50255</v>
      </c>
      <c r="F321">
        <v>86</v>
      </c>
      <c r="G321" s="5" t="s">
        <v>13</v>
      </c>
    </row>
    <row r="322" spans="1:7" x14ac:dyDescent="0.25">
      <c r="A322" s="5" t="s">
        <v>328</v>
      </c>
      <c r="B322" s="5" t="s">
        <v>4</v>
      </c>
      <c r="C322">
        <v>3</v>
      </c>
      <c r="D322">
        <v>1</v>
      </c>
      <c r="E322">
        <v>77378</v>
      </c>
      <c r="F322">
        <v>12</v>
      </c>
      <c r="G322" s="5" t="s">
        <v>5</v>
      </c>
    </row>
    <row r="323" spans="1:7" x14ac:dyDescent="0.25">
      <c r="A323" s="5" t="s">
        <v>329</v>
      </c>
      <c r="B323" s="5" t="s">
        <v>7</v>
      </c>
      <c r="C323">
        <v>1</v>
      </c>
      <c r="D323">
        <v>1</v>
      </c>
      <c r="E323">
        <v>9526</v>
      </c>
      <c r="F323">
        <v>90</v>
      </c>
      <c r="G323" s="5" t="s">
        <v>5</v>
      </c>
    </row>
    <row r="324" spans="1:7" x14ac:dyDescent="0.25">
      <c r="A324" s="5" t="s">
        <v>330</v>
      </c>
      <c r="B324" s="5" t="s">
        <v>7</v>
      </c>
      <c r="C324">
        <v>2</v>
      </c>
      <c r="D324">
        <v>1</v>
      </c>
      <c r="E324">
        <v>9606</v>
      </c>
      <c r="F324">
        <v>100</v>
      </c>
      <c r="G324" s="5" t="s">
        <v>5</v>
      </c>
    </row>
    <row r="325" spans="1:7" x14ac:dyDescent="0.25">
      <c r="A325" s="5" t="s">
        <v>331</v>
      </c>
      <c r="B325" s="5" t="s">
        <v>7</v>
      </c>
      <c r="C325">
        <v>3</v>
      </c>
      <c r="D325">
        <v>1</v>
      </c>
      <c r="E325">
        <v>10949</v>
      </c>
      <c r="F325">
        <v>100</v>
      </c>
      <c r="G325" s="5" t="s">
        <v>8</v>
      </c>
    </row>
    <row r="326" spans="1:7" x14ac:dyDescent="0.25">
      <c r="A326" s="5" t="s">
        <v>332</v>
      </c>
      <c r="B326" s="5" t="s">
        <v>4</v>
      </c>
      <c r="C326">
        <v>3</v>
      </c>
      <c r="D326">
        <v>1</v>
      </c>
      <c r="E326">
        <v>51022</v>
      </c>
      <c r="F326">
        <v>117</v>
      </c>
      <c r="G326" s="5" t="s">
        <v>5</v>
      </c>
    </row>
    <row r="327" spans="1:7" x14ac:dyDescent="0.25">
      <c r="A327" s="5" t="s">
        <v>333</v>
      </c>
      <c r="B327" s="5" t="s">
        <v>4</v>
      </c>
      <c r="C327">
        <v>4</v>
      </c>
      <c r="D327">
        <v>1</v>
      </c>
      <c r="E327">
        <v>49385</v>
      </c>
      <c r="F327">
        <v>11</v>
      </c>
      <c r="G327" s="5" t="s">
        <v>8</v>
      </c>
    </row>
    <row r="328" spans="1:7" x14ac:dyDescent="0.25">
      <c r="A328" s="5" t="s">
        <v>334</v>
      </c>
      <c r="B328" s="5" t="s">
        <v>7</v>
      </c>
      <c r="C328">
        <v>2</v>
      </c>
      <c r="D328">
        <v>1</v>
      </c>
      <c r="E328">
        <v>26235</v>
      </c>
      <c r="F328">
        <v>91</v>
      </c>
      <c r="G328" s="5" t="s">
        <v>5</v>
      </c>
    </row>
    <row r="329" spans="1:7" x14ac:dyDescent="0.25">
      <c r="A329" s="5" t="s">
        <v>335</v>
      </c>
      <c r="B329" s="5" t="s">
        <v>4</v>
      </c>
      <c r="C329">
        <v>3</v>
      </c>
      <c r="D329">
        <v>1</v>
      </c>
      <c r="E329">
        <v>50571</v>
      </c>
      <c r="F329">
        <v>23</v>
      </c>
      <c r="G329" s="5" t="s">
        <v>13</v>
      </c>
    </row>
    <row r="330" spans="1:7" x14ac:dyDescent="0.25">
      <c r="A330" s="5" t="s">
        <v>336</v>
      </c>
      <c r="B330" s="5" t="s">
        <v>7</v>
      </c>
      <c r="C330">
        <v>1</v>
      </c>
      <c r="D330">
        <v>1</v>
      </c>
      <c r="E330">
        <v>49881</v>
      </c>
      <c r="F330">
        <v>46</v>
      </c>
      <c r="G330" s="5" t="s">
        <v>13</v>
      </c>
    </row>
    <row r="331" spans="1:7" x14ac:dyDescent="0.25">
      <c r="A331" s="5" t="s">
        <v>337</v>
      </c>
      <c r="B331" s="5" t="s">
        <v>4</v>
      </c>
      <c r="C331">
        <v>2</v>
      </c>
      <c r="D331">
        <v>1</v>
      </c>
      <c r="E331">
        <v>50216</v>
      </c>
      <c r="F331">
        <v>102</v>
      </c>
      <c r="G331" s="5" t="s">
        <v>13</v>
      </c>
    </row>
    <row r="332" spans="1:7" x14ac:dyDescent="0.25">
      <c r="A332" s="5" t="s">
        <v>338</v>
      </c>
      <c r="B332" s="5" t="s">
        <v>4</v>
      </c>
      <c r="C332">
        <v>3</v>
      </c>
      <c r="D332">
        <v>1</v>
      </c>
      <c r="E332">
        <v>11297</v>
      </c>
      <c r="F332">
        <v>79</v>
      </c>
      <c r="G332" s="5" t="s">
        <v>13</v>
      </c>
    </row>
    <row r="333" spans="1:7" x14ac:dyDescent="0.25">
      <c r="A333" s="5" t="s">
        <v>339</v>
      </c>
      <c r="B333" s="5" t="s">
        <v>7</v>
      </c>
      <c r="C333">
        <v>2</v>
      </c>
      <c r="D333">
        <v>1</v>
      </c>
      <c r="E333">
        <v>52100</v>
      </c>
      <c r="F333">
        <v>38</v>
      </c>
      <c r="G333" s="5" t="s">
        <v>5</v>
      </c>
    </row>
    <row r="334" spans="1:7" x14ac:dyDescent="0.25">
      <c r="A334" s="5" t="s">
        <v>340</v>
      </c>
      <c r="B334" s="5" t="s">
        <v>4</v>
      </c>
      <c r="C334">
        <v>2</v>
      </c>
      <c r="D334">
        <v>1</v>
      </c>
      <c r="E334">
        <v>49903</v>
      </c>
      <c r="F334">
        <v>108</v>
      </c>
      <c r="G334" s="5" t="s">
        <v>8</v>
      </c>
    </row>
    <row r="335" spans="1:7" x14ac:dyDescent="0.25">
      <c r="A335" s="5" t="s">
        <v>341</v>
      </c>
      <c r="B335" s="5" t="s">
        <v>4</v>
      </c>
      <c r="C335">
        <v>1</v>
      </c>
      <c r="D335">
        <v>1</v>
      </c>
      <c r="E335">
        <v>80090</v>
      </c>
      <c r="F335">
        <v>66</v>
      </c>
      <c r="G335" s="5" t="s">
        <v>8</v>
      </c>
    </row>
    <row r="336" spans="1:7" x14ac:dyDescent="0.25">
      <c r="A336" s="5" t="s">
        <v>342</v>
      </c>
      <c r="B336" s="5" t="s">
        <v>7</v>
      </c>
      <c r="C336">
        <v>3</v>
      </c>
      <c r="D336">
        <v>1</v>
      </c>
      <c r="E336">
        <v>80814</v>
      </c>
      <c r="F336">
        <v>48</v>
      </c>
      <c r="G336" s="5" t="s">
        <v>8</v>
      </c>
    </row>
    <row r="337" spans="1:7" x14ac:dyDescent="0.25">
      <c r="A337" s="5" t="s">
        <v>343</v>
      </c>
      <c r="B337" s="5" t="s">
        <v>4</v>
      </c>
      <c r="C337">
        <v>5</v>
      </c>
      <c r="D337">
        <v>1</v>
      </c>
      <c r="E337">
        <v>10933</v>
      </c>
      <c r="F337">
        <v>73</v>
      </c>
      <c r="G337" s="5" t="s">
        <v>13</v>
      </c>
    </row>
    <row r="338" spans="1:7" x14ac:dyDescent="0.25">
      <c r="A338" s="5" t="s">
        <v>344</v>
      </c>
      <c r="B338" s="5" t="s">
        <v>4</v>
      </c>
      <c r="C338">
        <v>1</v>
      </c>
      <c r="D338">
        <v>1</v>
      </c>
      <c r="E338">
        <v>8467</v>
      </c>
      <c r="F338">
        <v>23</v>
      </c>
      <c r="G338" s="5" t="s">
        <v>13</v>
      </c>
    </row>
    <row r="339" spans="1:7" x14ac:dyDescent="0.25">
      <c r="A339" s="5" t="s">
        <v>345</v>
      </c>
      <c r="B339" s="5" t="s">
        <v>7</v>
      </c>
      <c r="C339">
        <v>1</v>
      </c>
      <c r="D339">
        <v>1</v>
      </c>
      <c r="E339">
        <v>25741</v>
      </c>
      <c r="F339">
        <v>79</v>
      </c>
      <c r="G339" s="5" t="s">
        <v>8</v>
      </c>
    </row>
    <row r="340" spans="1:7" x14ac:dyDescent="0.25">
      <c r="A340" s="5" t="s">
        <v>346</v>
      </c>
      <c r="B340" s="5" t="s">
        <v>4</v>
      </c>
      <c r="C340">
        <v>2</v>
      </c>
      <c r="D340">
        <v>1</v>
      </c>
      <c r="E340">
        <v>50055</v>
      </c>
      <c r="F340">
        <v>77</v>
      </c>
      <c r="G340" s="5" t="s">
        <v>13</v>
      </c>
    </row>
    <row r="341" spans="1:7" x14ac:dyDescent="0.25">
      <c r="A341" s="5" t="s">
        <v>347</v>
      </c>
      <c r="B341" s="5" t="s">
        <v>7</v>
      </c>
      <c r="C341">
        <v>3</v>
      </c>
      <c r="D341">
        <v>1</v>
      </c>
      <c r="E341">
        <v>79610</v>
      </c>
      <c r="F341">
        <v>30</v>
      </c>
      <c r="G341" s="5" t="s">
        <v>13</v>
      </c>
    </row>
    <row r="342" spans="1:7" x14ac:dyDescent="0.25">
      <c r="A342" s="5" t="s">
        <v>348</v>
      </c>
      <c r="B342" s="5" t="s">
        <v>4</v>
      </c>
      <c r="C342">
        <v>1</v>
      </c>
      <c r="D342">
        <v>1</v>
      </c>
      <c r="E342">
        <v>10700</v>
      </c>
      <c r="F342">
        <v>18</v>
      </c>
      <c r="G342" s="5" t="s">
        <v>5</v>
      </c>
    </row>
    <row r="343" spans="1:7" x14ac:dyDescent="0.25">
      <c r="A343" s="5" t="s">
        <v>349</v>
      </c>
      <c r="B343" s="5" t="s">
        <v>4</v>
      </c>
      <c r="C343">
        <v>1</v>
      </c>
      <c r="D343">
        <v>1</v>
      </c>
      <c r="E343">
        <v>25280</v>
      </c>
      <c r="F343">
        <v>118</v>
      </c>
      <c r="G343" s="5" t="s">
        <v>8</v>
      </c>
    </row>
    <row r="344" spans="1:7" x14ac:dyDescent="0.25">
      <c r="A344" s="5" t="s">
        <v>350</v>
      </c>
      <c r="B344" s="5" t="s">
        <v>4</v>
      </c>
      <c r="C344">
        <v>1</v>
      </c>
      <c r="D344">
        <v>1</v>
      </c>
      <c r="E344">
        <v>49046</v>
      </c>
      <c r="F344">
        <v>113</v>
      </c>
      <c r="G344" s="5" t="s">
        <v>5</v>
      </c>
    </row>
    <row r="345" spans="1:7" x14ac:dyDescent="0.25">
      <c r="A345" s="5" t="s">
        <v>351</v>
      </c>
      <c r="B345" s="5" t="s">
        <v>7</v>
      </c>
      <c r="C345">
        <v>2</v>
      </c>
      <c r="D345">
        <v>1</v>
      </c>
      <c r="E345">
        <v>11570</v>
      </c>
      <c r="F345">
        <v>115</v>
      </c>
      <c r="G345" s="5" t="s">
        <v>5</v>
      </c>
    </row>
    <row r="346" spans="1:7" x14ac:dyDescent="0.25">
      <c r="A346" s="5" t="s">
        <v>352</v>
      </c>
      <c r="B346" s="5" t="s">
        <v>7</v>
      </c>
      <c r="C346">
        <v>2</v>
      </c>
      <c r="D346">
        <v>1</v>
      </c>
      <c r="E346">
        <v>79613</v>
      </c>
      <c r="F346">
        <v>44</v>
      </c>
      <c r="G346" s="5" t="s">
        <v>8</v>
      </c>
    </row>
    <row r="347" spans="1:7" x14ac:dyDescent="0.25">
      <c r="A347" s="5" t="s">
        <v>353</v>
      </c>
      <c r="B347" s="5" t="s">
        <v>7</v>
      </c>
      <c r="C347">
        <v>3</v>
      </c>
      <c r="D347">
        <v>1</v>
      </c>
      <c r="E347">
        <v>51207</v>
      </c>
      <c r="F347">
        <v>72</v>
      </c>
      <c r="G347" s="5" t="s">
        <v>5</v>
      </c>
    </row>
    <row r="348" spans="1:7" x14ac:dyDescent="0.25">
      <c r="A348" s="5" t="s">
        <v>354</v>
      </c>
      <c r="B348" s="5" t="s">
        <v>7</v>
      </c>
      <c r="C348">
        <v>2</v>
      </c>
      <c r="D348">
        <v>1</v>
      </c>
      <c r="E348">
        <v>22941</v>
      </c>
      <c r="F348">
        <v>42</v>
      </c>
      <c r="G348" s="5" t="s">
        <v>8</v>
      </c>
    </row>
    <row r="349" spans="1:7" x14ac:dyDescent="0.25">
      <c r="A349" s="5" t="s">
        <v>355</v>
      </c>
      <c r="B349" s="5" t="s">
        <v>7</v>
      </c>
      <c r="C349">
        <v>2</v>
      </c>
      <c r="D349">
        <v>1</v>
      </c>
      <c r="E349">
        <v>26214</v>
      </c>
      <c r="F349">
        <v>38</v>
      </c>
      <c r="G349" s="5" t="s">
        <v>13</v>
      </c>
    </row>
    <row r="350" spans="1:7" x14ac:dyDescent="0.25">
      <c r="A350" s="5" t="s">
        <v>356</v>
      </c>
      <c r="B350" s="5" t="s">
        <v>7</v>
      </c>
      <c r="C350">
        <v>2</v>
      </c>
      <c r="D350">
        <v>1</v>
      </c>
      <c r="E350">
        <v>25028</v>
      </c>
      <c r="F350">
        <v>62</v>
      </c>
      <c r="G350" s="5" t="s">
        <v>8</v>
      </c>
    </row>
    <row r="351" spans="1:7" x14ac:dyDescent="0.25">
      <c r="A351" s="5" t="s">
        <v>357</v>
      </c>
      <c r="B351" s="5" t="s">
        <v>4</v>
      </c>
      <c r="C351">
        <v>3</v>
      </c>
      <c r="D351">
        <v>1</v>
      </c>
      <c r="E351">
        <v>47967</v>
      </c>
      <c r="F351">
        <v>56</v>
      </c>
      <c r="G351" s="5" t="s">
        <v>5</v>
      </c>
    </row>
    <row r="352" spans="1:7" x14ac:dyDescent="0.25">
      <c r="A352" s="5" t="s">
        <v>358</v>
      </c>
      <c r="B352" s="5" t="s">
        <v>7</v>
      </c>
      <c r="C352">
        <v>1</v>
      </c>
      <c r="D352">
        <v>1</v>
      </c>
      <c r="E352">
        <v>49517</v>
      </c>
      <c r="F352">
        <v>9</v>
      </c>
      <c r="G352" s="5" t="s">
        <v>8</v>
      </c>
    </row>
    <row r="353" spans="1:7" x14ac:dyDescent="0.25">
      <c r="A353" s="5" t="s">
        <v>359</v>
      </c>
      <c r="B353" s="5" t="s">
        <v>4</v>
      </c>
      <c r="C353">
        <v>1</v>
      </c>
      <c r="D353">
        <v>1</v>
      </c>
      <c r="E353">
        <v>10349</v>
      </c>
      <c r="F353">
        <v>106</v>
      </c>
      <c r="G353" s="5" t="s">
        <v>8</v>
      </c>
    </row>
    <row r="354" spans="1:7" x14ac:dyDescent="0.25">
      <c r="A354" s="5" t="s">
        <v>360</v>
      </c>
      <c r="B354" s="5" t="s">
        <v>7</v>
      </c>
      <c r="C354">
        <v>2</v>
      </c>
      <c r="D354">
        <v>1</v>
      </c>
      <c r="E354">
        <v>48621</v>
      </c>
      <c r="F354">
        <v>117</v>
      </c>
      <c r="G354" s="5" t="s">
        <v>5</v>
      </c>
    </row>
    <row r="355" spans="1:7" x14ac:dyDescent="0.25">
      <c r="A355" s="5" t="s">
        <v>361</v>
      </c>
      <c r="B355" s="5" t="s">
        <v>4</v>
      </c>
      <c r="C355">
        <v>1</v>
      </c>
      <c r="D355">
        <v>1</v>
      </c>
      <c r="E355">
        <v>26182</v>
      </c>
      <c r="F355">
        <v>73</v>
      </c>
      <c r="G355" s="5" t="s">
        <v>5</v>
      </c>
    </row>
    <row r="356" spans="1:7" x14ac:dyDescent="0.25">
      <c r="A356" s="5" t="s">
        <v>362</v>
      </c>
      <c r="B356" s="5" t="s">
        <v>7</v>
      </c>
      <c r="C356">
        <v>3</v>
      </c>
      <c r="D356">
        <v>1</v>
      </c>
      <c r="E356">
        <v>49280</v>
      </c>
      <c r="F356">
        <v>38</v>
      </c>
      <c r="G356" s="5" t="s">
        <v>13</v>
      </c>
    </row>
    <row r="357" spans="1:7" x14ac:dyDescent="0.25">
      <c r="A357" s="5" t="s">
        <v>363</v>
      </c>
      <c r="B357" s="5" t="s">
        <v>7</v>
      </c>
      <c r="C357">
        <v>3</v>
      </c>
      <c r="D357">
        <v>1</v>
      </c>
      <c r="E357">
        <v>50389</v>
      </c>
      <c r="F357">
        <v>106</v>
      </c>
      <c r="G357" s="5" t="s">
        <v>5</v>
      </c>
    </row>
    <row r="358" spans="1:7" x14ac:dyDescent="0.25">
      <c r="A358" s="5" t="s">
        <v>364</v>
      </c>
      <c r="B358" s="5" t="s">
        <v>4</v>
      </c>
      <c r="C358">
        <v>2</v>
      </c>
      <c r="D358">
        <v>1</v>
      </c>
      <c r="E358">
        <v>10514</v>
      </c>
      <c r="F358">
        <v>37</v>
      </c>
      <c r="G358" s="5" t="s">
        <v>5</v>
      </c>
    </row>
    <row r="359" spans="1:7" x14ac:dyDescent="0.25">
      <c r="A359" s="5" t="s">
        <v>365</v>
      </c>
      <c r="B359" s="5" t="s">
        <v>7</v>
      </c>
      <c r="C359">
        <v>2</v>
      </c>
      <c r="D359">
        <v>1</v>
      </c>
      <c r="E359">
        <v>49581</v>
      </c>
      <c r="F359">
        <v>98</v>
      </c>
      <c r="G359" s="5" t="s">
        <v>5</v>
      </c>
    </row>
    <row r="360" spans="1:7" x14ac:dyDescent="0.25">
      <c r="A360" s="5" t="s">
        <v>366</v>
      </c>
      <c r="B360" s="5" t="s">
        <v>7</v>
      </c>
      <c r="C360">
        <v>2</v>
      </c>
      <c r="D360">
        <v>1</v>
      </c>
      <c r="E360">
        <v>10257</v>
      </c>
      <c r="F360">
        <v>52</v>
      </c>
      <c r="G360" s="5" t="s">
        <v>8</v>
      </c>
    </row>
    <row r="361" spans="1:7" x14ac:dyDescent="0.25">
      <c r="A361" s="5" t="s">
        <v>367</v>
      </c>
      <c r="B361" s="5" t="s">
        <v>7</v>
      </c>
      <c r="C361">
        <v>2</v>
      </c>
      <c r="D361">
        <v>1</v>
      </c>
      <c r="E361">
        <v>25248</v>
      </c>
      <c r="F361">
        <v>23</v>
      </c>
      <c r="G361" s="5" t="s">
        <v>5</v>
      </c>
    </row>
    <row r="362" spans="1:7" x14ac:dyDescent="0.25">
      <c r="A362" s="5" t="s">
        <v>368</v>
      </c>
      <c r="B362" s="5" t="s">
        <v>4</v>
      </c>
      <c r="C362">
        <v>1</v>
      </c>
      <c r="D362">
        <v>1</v>
      </c>
      <c r="E362">
        <v>9418</v>
      </c>
      <c r="F362">
        <v>78</v>
      </c>
      <c r="G362" s="5" t="s">
        <v>8</v>
      </c>
    </row>
    <row r="363" spans="1:7" x14ac:dyDescent="0.25">
      <c r="A363" s="5" t="s">
        <v>369</v>
      </c>
      <c r="B363" s="5" t="s">
        <v>4</v>
      </c>
      <c r="C363">
        <v>1</v>
      </c>
      <c r="D363">
        <v>1</v>
      </c>
      <c r="E363">
        <v>24421</v>
      </c>
      <c r="F363">
        <v>90</v>
      </c>
      <c r="G363" s="5" t="s">
        <v>13</v>
      </c>
    </row>
    <row r="364" spans="1:7" x14ac:dyDescent="0.25">
      <c r="A364" s="5" t="s">
        <v>370</v>
      </c>
      <c r="B364" s="5" t="s">
        <v>7</v>
      </c>
      <c r="C364">
        <v>3</v>
      </c>
      <c r="D364">
        <v>1</v>
      </c>
      <c r="E364">
        <v>11617</v>
      </c>
      <c r="F364">
        <v>82</v>
      </c>
      <c r="G364" s="5" t="s">
        <v>13</v>
      </c>
    </row>
    <row r="365" spans="1:7" x14ac:dyDescent="0.25">
      <c r="A365" s="5" t="s">
        <v>371</v>
      </c>
      <c r="B365" s="5" t="s">
        <v>7</v>
      </c>
      <c r="C365">
        <v>1</v>
      </c>
      <c r="D365">
        <v>1</v>
      </c>
      <c r="E365">
        <v>78384</v>
      </c>
      <c r="F365">
        <v>117</v>
      </c>
      <c r="G365" s="5" t="s">
        <v>8</v>
      </c>
    </row>
    <row r="366" spans="1:7" x14ac:dyDescent="0.25">
      <c r="A366" s="5" t="s">
        <v>372</v>
      </c>
      <c r="B366" s="5" t="s">
        <v>4</v>
      </c>
      <c r="C366">
        <v>3</v>
      </c>
      <c r="D366">
        <v>1</v>
      </c>
      <c r="E366">
        <v>11273</v>
      </c>
      <c r="F366">
        <v>33</v>
      </c>
      <c r="G366" s="5" t="s">
        <v>13</v>
      </c>
    </row>
    <row r="367" spans="1:7" x14ac:dyDescent="0.25">
      <c r="A367" s="5" t="s">
        <v>373</v>
      </c>
      <c r="B367" s="5" t="s">
        <v>7</v>
      </c>
      <c r="C367">
        <v>2</v>
      </c>
      <c r="D367">
        <v>1</v>
      </c>
      <c r="E367">
        <v>24587</v>
      </c>
      <c r="F367">
        <v>93</v>
      </c>
      <c r="G367" s="5" t="s">
        <v>5</v>
      </c>
    </row>
    <row r="368" spans="1:7" x14ac:dyDescent="0.25">
      <c r="A368" s="5" t="s">
        <v>374</v>
      </c>
      <c r="B368" s="5" t="s">
        <v>7</v>
      </c>
      <c r="C368">
        <v>3</v>
      </c>
      <c r="D368">
        <v>1</v>
      </c>
      <c r="E368">
        <v>51962</v>
      </c>
      <c r="F368">
        <v>0</v>
      </c>
      <c r="G368" s="5" t="s">
        <v>13</v>
      </c>
    </row>
    <row r="369" spans="1:7" x14ac:dyDescent="0.25">
      <c r="A369" s="5" t="s">
        <v>375</v>
      </c>
      <c r="B369" s="5" t="s">
        <v>4</v>
      </c>
      <c r="C369">
        <v>2</v>
      </c>
      <c r="D369">
        <v>1</v>
      </c>
      <c r="E369">
        <v>48139</v>
      </c>
      <c r="F369">
        <v>78</v>
      </c>
      <c r="G369" s="5" t="s">
        <v>13</v>
      </c>
    </row>
    <row r="370" spans="1:7" x14ac:dyDescent="0.25">
      <c r="A370" s="5" t="s">
        <v>376</v>
      </c>
      <c r="B370" s="5" t="s">
        <v>7</v>
      </c>
      <c r="C370">
        <v>3</v>
      </c>
      <c r="D370">
        <v>1</v>
      </c>
      <c r="E370">
        <v>79787</v>
      </c>
      <c r="F370">
        <v>95</v>
      </c>
      <c r="G370" s="5" t="s">
        <v>8</v>
      </c>
    </row>
    <row r="371" spans="1:7" x14ac:dyDescent="0.25">
      <c r="A371" s="5" t="s">
        <v>377</v>
      </c>
      <c r="B371" s="5" t="s">
        <v>4</v>
      </c>
      <c r="C371">
        <v>3</v>
      </c>
      <c r="D371">
        <v>1</v>
      </c>
      <c r="E371">
        <v>47567</v>
      </c>
      <c r="F371">
        <v>7</v>
      </c>
      <c r="G371" s="5" t="s">
        <v>13</v>
      </c>
    </row>
    <row r="372" spans="1:7" x14ac:dyDescent="0.25">
      <c r="A372" s="5" t="s">
        <v>378</v>
      </c>
      <c r="B372" s="5" t="s">
        <v>7</v>
      </c>
      <c r="C372">
        <v>2</v>
      </c>
      <c r="D372">
        <v>1</v>
      </c>
      <c r="E372">
        <v>11751</v>
      </c>
      <c r="F372">
        <v>100</v>
      </c>
      <c r="G372" s="5" t="s">
        <v>5</v>
      </c>
    </row>
    <row r="373" spans="1:7" x14ac:dyDescent="0.25">
      <c r="A373" s="5" t="s">
        <v>379</v>
      </c>
      <c r="B373" s="5" t="s">
        <v>7</v>
      </c>
      <c r="C373">
        <v>5</v>
      </c>
      <c r="D373">
        <v>1</v>
      </c>
      <c r="E373">
        <v>48785</v>
      </c>
      <c r="F373">
        <v>78</v>
      </c>
      <c r="G373" s="5" t="s">
        <v>5</v>
      </c>
    </row>
    <row r="374" spans="1:7" x14ac:dyDescent="0.25">
      <c r="A374" s="5" t="s">
        <v>380</v>
      </c>
      <c r="B374" s="5" t="s">
        <v>4</v>
      </c>
      <c r="C374">
        <v>1</v>
      </c>
      <c r="D374">
        <v>1</v>
      </c>
      <c r="E374">
        <v>49753</v>
      </c>
      <c r="F374">
        <v>42</v>
      </c>
      <c r="G374" s="5" t="s">
        <v>5</v>
      </c>
    </row>
    <row r="375" spans="1:7" x14ac:dyDescent="0.25">
      <c r="A375" s="5" t="s">
        <v>381</v>
      </c>
      <c r="B375" s="5" t="s">
        <v>7</v>
      </c>
      <c r="C375">
        <v>3</v>
      </c>
      <c r="D375">
        <v>1</v>
      </c>
      <c r="E375">
        <v>9862</v>
      </c>
      <c r="F375">
        <v>91</v>
      </c>
      <c r="G375" s="5" t="s">
        <v>8</v>
      </c>
    </row>
    <row r="376" spans="1:7" x14ac:dyDescent="0.25">
      <c r="A376" s="5" t="s">
        <v>382</v>
      </c>
      <c r="B376" s="5" t="s">
        <v>4</v>
      </c>
      <c r="C376">
        <v>3</v>
      </c>
      <c r="D376">
        <v>1</v>
      </c>
      <c r="E376">
        <v>25607</v>
      </c>
      <c r="F376">
        <v>85</v>
      </c>
      <c r="G376" s="5" t="s">
        <v>5</v>
      </c>
    </row>
    <row r="377" spans="1:7" x14ac:dyDescent="0.25">
      <c r="A377" s="5" t="s">
        <v>383</v>
      </c>
      <c r="B377" s="5" t="s">
        <v>4</v>
      </c>
      <c r="C377">
        <v>2</v>
      </c>
      <c r="D377">
        <v>1</v>
      </c>
      <c r="E377">
        <v>8349</v>
      </c>
      <c r="F377">
        <v>71</v>
      </c>
      <c r="G377" s="5" t="s">
        <v>5</v>
      </c>
    </row>
    <row r="378" spans="1:7" x14ac:dyDescent="0.25">
      <c r="A378" s="5" t="s">
        <v>384</v>
      </c>
      <c r="B378" s="5" t="s">
        <v>4</v>
      </c>
      <c r="C378">
        <v>4</v>
      </c>
      <c r="D378">
        <v>1</v>
      </c>
      <c r="E378">
        <v>81192</v>
      </c>
      <c r="F378">
        <v>94</v>
      </c>
      <c r="G378" s="5" t="s">
        <v>5</v>
      </c>
    </row>
    <row r="379" spans="1:7" x14ac:dyDescent="0.25">
      <c r="A379" s="5" t="s">
        <v>385</v>
      </c>
      <c r="B379" s="5" t="s">
        <v>7</v>
      </c>
      <c r="C379">
        <v>3</v>
      </c>
      <c r="D379">
        <v>1</v>
      </c>
      <c r="E379">
        <v>24310</v>
      </c>
      <c r="F379">
        <v>34</v>
      </c>
      <c r="G379" s="5" t="s">
        <v>13</v>
      </c>
    </row>
    <row r="380" spans="1:7" x14ac:dyDescent="0.25">
      <c r="A380" s="5" t="s">
        <v>386</v>
      </c>
      <c r="B380" s="5" t="s">
        <v>4</v>
      </c>
      <c r="C380">
        <v>2</v>
      </c>
      <c r="D380">
        <v>1</v>
      </c>
      <c r="E380">
        <v>24467</v>
      </c>
      <c r="F380">
        <v>6</v>
      </c>
      <c r="G380" s="5" t="s">
        <v>13</v>
      </c>
    </row>
    <row r="381" spans="1:7" x14ac:dyDescent="0.25">
      <c r="A381" s="5" t="s">
        <v>387</v>
      </c>
      <c r="B381" s="5" t="s">
        <v>4</v>
      </c>
      <c r="C381">
        <v>3</v>
      </c>
      <c r="D381">
        <v>1</v>
      </c>
      <c r="E381">
        <v>51694</v>
      </c>
      <c r="F381">
        <v>48</v>
      </c>
      <c r="G381" s="5" t="s">
        <v>5</v>
      </c>
    </row>
    <row r="382" spans="1:7" x14ac:dyDescent="0.25">
      <c r="A382" s="5" t="s">
        <v>388</v>
      </c>
      <c r="B382" s="5" t="s">
        <v>7</v>
      </c>
      <c r="C382">
        <v>1</v>
      </c>
      <c r="D382">
        <v>1</v>
      </c>
      <c r="E382">
        <v>22054</v>
      </c>
      <c r="F382">
        <v>2</v>
      </c>
      <c r="G382" s="5" t="s">
        <v>8</v>
      </c>
    </row>
    <row r="383" spans="1:7" x14ac:dyDescent="0.25">
      <c r="A383" s="5" t="s">
        <v>389</v>
      </c>
      <c r="B383" s="5" t="s">
        <v>7</v>
      </c>
      <c r="C383">
        <v>2</v>
      </c>
      <c r="D383">
        <v>1</v>
      </c>
      <c r="E383">
        <v>50399</v>
      </c>
      <c r="F383">
        <v>108</v>
      </c>
      <c r="G383" s="5" t="s">
        <v>8</v>
      </c>
    </row>
    <row r="384" spans="1:7" x14ac:dyDescent="0.25">
      <c r="A384" s="5" t="s">
        <v>390</v>
      </c>
      <c r="B384" s="5" t="s">
        <v>4</v>
      </c>
      <c r="C384">
        <v>1</v>
      </c>
      <c r="D384">
        <v>1</v>
      </c>
      <c r="E384">
        <v>25440</v>
      </c>
      <c r="F384">
        <v>64</v>
      </c>
      <c r="G384" s="5" t="s">
        <v>13</v>
      </c>
    </row>
    <row r="385" spans="1:7" x14ac:dyDescent="0.25">
      <c r="A385" s="5" t="s">
        <v>391</v>
      </c>
      <c r="B385" s="5" t="s">
        <v>4</v>
      </c>
      <c r="C385">
        <v>2</v>
      </c>
      <c r="D385">
        <v>1</v>
      </c>
      <c r="E385">
        <v>48991</v>
      </c>
      <c r="F385">
        <v>57</v>
      </c>
      <c r="G385" s="5" t="s">
        <v>5</v>
      </c>
    </row>
    <row r="386" spans="1:7" x14ac:dyDescent="0.25">
      <c r="A386" s="5" t="s">
        <v>392</v>
      </c>
      <c r="B386" s="5" t="s">
        <v>7</v>
      </c>
      <c r="C386">
        <v>1</v>
      </c>
      <c r="D386">
        <v>1</v>
      </c>
      <c r="E386">
        <v>50546</v>
      </c>
      <c r="F386">
        <v>84</v>
      </c>
      <c r="G386" s="5" t="s">
        <v>8</v>
      </c>
    </row>
    <row r="387" spans="1:7" x14ac:dyDescent="0.25">
      <c r="A387" s="5" t="s">
        <v>393</v>
      </c>
      <c r="B387" s="5" t="s">
        <v>7</v>
      </c>
      <c r="C387">
        <v>1</v>
      </c>
      <c r="D387">
        <v>1</v>
      </c>
      <c r="E387">
        <v>25323</v>
      </c>
      <c r="F387">
        <v>117</v>
      </c>
      <c r="G387" s="5" t="s">
        <v>5</v>
      </c>
    </row>
    <row r="388" spans="1:7" x14ac:dyDescent="0.25">
      <c r="A388" s="5" t="s">
        <v>394</v>
      </c>
      <c r="B388" s="5" t="s">
        <v>4</v>
      </c>
      <c r="C388">
        <v>3</v>
      </c>
      <c r="D388">
        <v>1</v>
      </c>
      <c r="E388">
        <v>25651</v>
      </c>
      <c r="F388">
        <v>38</v>
      </c>
      <c r="G388" s="5" t="s">
        <v>5</v>
      </c>
    </row>
    <row r="389" spans="1:7" x14ac:dyDescent="0.25">
      <c r="A389" s="5" t="s">
        <v>395</v>
      </c>
      <c r="B389" s="5" t="s">
        <v>7</v>
      </c>
      <c r="C389">
        <v>3</v>
      </c>
      <c r="D389">
        <v>1</v>
      </c>
      <c r="E389">
        <v>25844</v>
      </c>
      <c r="F389">
        <v>103</v>
      </c>
      <c r="G389" s="5" t="s">
        <v>8</v>
      </c>
    </row>
    <row r="390" spans="1:7" x14ac:dyDescent="0.25">
      <c r="A390" s="5" t="s">
        <v>396</v>
      </c>
      <c r="B390" s="5" t="s">
        <v>7</v>
      </c>
      <c r="C390">
        <v>2</v>
      </c>
      <c r="D390">
        <v>1</v>
      </c>
      <c r="E390">
        <v>25202</v>
      </c>
      <c r="F390">
        <v>117</v>
      </c>
      <c r="G390" s="5" t="s">
        <v>5</v>
      </c>
    </row>
    <row r="391" spans="1:7" x14ac:dyDescent="0.25">
      <c r="A391" s="5" t="s">
        <v>397</v>
      </c>
      <c r="B391" s="5" t="s">
        <v>7</v>
      </c>
      <c r="C391">
        <v>3</v>
      </c>
      <c r="D391">
        <v>1</v>
      </c>
      <c r="E391">
        <v>11926</v>
      </c>
      <c r="F391">
        <v>51</v>
      </c>
      <c r="G391" s="5" t="s">
        <v>5</v>
      </c>
    </row>
    <row r="392" spans="1:7" x14ac:dyDescent="0.25">
      <c r="A392" s="5" t="s">
        <v>398</v>
      </c>
      <c r="B392" s="5" t="s">
        <v>4</v>
      </c>
      <c r="C392">
        <v>3</v>
      </c>
      <c r="D392">
        <v>1</v>
      </c>
      <c r="E392">
        <v>25542</v>
      </c>
      <c r="F392">
        <v>54</v>
      </c>
      <c r="G392" s="5" t="s">
        <v>5</v>
      </c>
    </row>
    <row r="393" spans="1:7" x14ac:dyDescent="0.25">
      <c r="A393" s="5" t="s">
        <v>399</v>
      </c>
      <c r="B393" s="5" t="s">
        <v>7</v>
      </c>
      <c r="C393">
        <v>1</v>
      </c>
      <c r="D393">
        <v>1</v>
      </c>
      <c r="E393">
        <v>10191</v>
      </c>
      <c r="F393">
        <v>56</v>
      </c>
      <c r="G393" s="5" t="s">
        <v>8</v>
      </c>
    </row>
    <row r="394" spans="1:7" x14ac:dyDescent="0.25">
      <c r="A394" s="5" t="s">
        <v>400</v>
      </c>
      <c r="B394" s="5" t="s">
        <v>7</v>
      </c>
      <c r="C394">
        <v>3</v>
      </c>
      <c r="D394">
        <v>1</v>
      </c>
      <c r="E394">
        <v>9151</v>
      </c>
      <c r="F394">
        <v>74</v>
      </c>
      <c r="G394" s="5" t="s">
        <v>5</v>
      </c>
    </row>
    <row r="395" spans="1:7" x14ac:dyDescent="0.25">
      <c r="A395" s="5" t="s">
        <v>401</v>
      </c>
      <c r="B395" s="5" t="s">
        <v>4</v>
      </c>
      <c r="C395">
        <v>3</v>
      </c>
      <c r="D395">
        <v>1</v>
      </c>
      <c r="E395">
        <v>9614</v>
      </c>
      <c r="F395">
        <v>105</v>
      </c>
      <c r="G395" s="5" t="s">
        <v>5</v>
      </c>
    </row>
    <row r="396" spans="1:7" x14ac:dyDescent="0.25">
      <c r="A396" s="5" t="s">
        <v>402</v>
      </c>
      <c r="B396" s="5" t="s">
        <v>4</v>
      </c>
      <c r="C396">
        <v>1</v>
      </c>
      <c r="D396">
        <v>1</v>
      </c>
      <c r="E396">
        <v>24482</v>
      </c>
      <c r="F396">
        <v>72</v>
      </c>
      <c r="G396" s="5" t="s">
        <v>5</v>
      </c>
    </row>
    <row r="397" spans="1:7" x14ac:dyDescent="0.25">
      <c r="A397" s="5" t="s">
        <v>403</v>
      </c>
      <c r="B397" s="5" t="s">
        <v>7</v>
      </c>
      <c r="C397">
        <v>1</v>
      </c>
      <c r="D397">
        <v>1</v>
      </c>
      <c r="E397">
        <v>10391</v>
      </c>
      <c r="F397">
        <v>82</v>
      </c>
      <c r="G397" s="5" t="s">
        <v>5</v>
      </c>
    </row>
    <row r="398" spans="1:7" x14ac:dyDescent="0.25">
      <c r="A398" s="5" t="s">
        <v>404</v>
      </c>
      <c r="B398" s="5" t="s">
        <v>7</v>
      </c>
      <c r="C398">
        <v>2</v>
      </c>
      <c r="D398">
        <v>1</v>
      </c>
      <c r="E398">
        <v>23639</v>
      </c>
      <c r="F398">
        <v>117</v>
      </c>
      <c r="G398" s="5" t="s">
        <v>13</v>
      </c>
    </row>
    <row r="399" spans="1:7" x14ac:dyDescent="0.25">
      <c r="A399" s="5" t="s">
        <v>405</v>
      </c>
      <c r="B399" s="5" t="s">
        <v>7</v>
      </c>
      <c r="C399">
        <v>1</v>
      </c>
      <c r="D399">
        <v>1</v>
      </c>
      <c r="E399">
        <v>49896</v>
      </c>
      <c r="F399">
        <v>110</v>
      </c>
      <c r="G399" s="5" t="s">
        <v>8</v>
      </c>
    </row>
    <row r="400" spans="1:7" x14ac:dyDescent="0.25">
      <c r="A400" s="5" t="s">
        <v>406</v>
      </c>
      <c r="B400" s="5" t="s">
        <v>7</v>
      </c>
      <c r="C400">
        <v>3</v>
      </c>
      <c r="D400">
        <v>1</v>
      </c>
      <c r="E400">
        <v>48627</v>
      </c>
      <c r="F400">
        <v>93</v>
      </c>
      <c r="G400" s="5" t="s">
        <v>5</v>
      </c>
    </row>
    <row r="401" spans="1:7" x14ac:dyDescent="0.25">
      <c r="A401" s="5" t="s">
        <v>407</v>
      </c>
      <c r="B401" s="5" t="s">
        <v>7</v>
      </c>
      <c r="C401">
        <v>3</v>
      </c>
      <c r="D401">
        <v>1</v>
      </c>
      <c r="E401">
        <v>24265</v>
      </c>
      <c r="F401">
        <v>113</v>
      </c>
      <c r="G401" s="5" t="s">
        <v>8</v>
      </c>
    </row>
    <row r="402" spans="1:7" x14ac:dyDescent="0.25">
      <c r="A402" s="5" t="s">
        <v>408</v>
      </c>
      <c r="B402" s="5" t="s">
        <v>7</v>
      </c>
      <c r="C402">
        <v>1</v>
      </c>
      <c r="D402">
        <v>1</v>
      </c>
      <c r="E402">
        <v>23963</v>
      </c>
      <c r="F402">
        <v>11</v>
      </c>
      <c r="G402" s="5" t="s">
        <v>5</v>
      </c>
    </row>
    <row r="403" spans="1:7" x14ac:dyDescent="0.25">
      <c r="A403" s="5" t="s">
        <v>409</v>
      </c>
      <c r="B403" s="5" t="s">
        <v>4</v>
      </c>
      <c r="C403">
        <v>3</v>
      </c>
      <c r="D403">
        <v>1</v>
      </c>
      <c r="E403">
        <v>25462</v>
      </c>
      <c r="F403">
        <v>93</v>
      </c>
      <c r="G403" s="5" t="s">
        <v>8</v>
      </c>
    </row>
    <row r="404" spans="1:7" x14ac:dyDescent="0.25">
      <c r="A404" s="5" t="s">
        <v>410</v>
      </c>
      <c r="B404" s="5" t="s">
        <v>7</v>
      </c>
      <c r="C404">
        <v>3</v>
      </c>
      <c r="D404">
        <v>1</v>
      </c>
      <c r="E404">
        <v>11032</v>
      </c>
      <c r="F404">
        <v>5</v>
      </c>
      <c r="G404" s="5" t="s">
        <v>5</v>
      </c>
    </row>
    <row r="405" spans="1:7" x14ac:dyDescent="0.25">
      <c r="A405" s="5" t="s">
        <v>411</v>
      </c>
      <c r="B405" s="5" t="s">
        <v>4</v>
      </c>
      <c r="C405">
        <v>1</v>
      </c>
      <c r="D405">
        <v>1</v>
      </c>
      <c r="E405">
        <v>82393</v>
      </c>
      <c r="F405">
        <v>81</v>
      </c>
      <c r="G405" s="5" t="s">
        <v>8</v>
      </c>
    </row>
    <row r="406" spans="1:7" x14ac:dyDescent="0.25">
      <c r="A406" s="5" t="s">
        <v>412</v>
      </c>
      <c r="B406" s="5" t="s">
        <v>7</v>
      </c>
      <c r="C406">
        <v>3</v>
      </c>
      <c r="D406">
        <v>1</v>
      </c>
      <c r="E406">
        <v>24288</v>
      </c>
      <c r="F406">
        <v>102</v>
      </c>
      <c r="G406" s="5" t="s">
        <v>13</v>
      </c>
    </row>
    <row r="407" spans="1:7" x14ac:dyDescent="0.25">
      <c r="A407" s="5" t="s">
        <v>413</v>
      </c>
      <c r="B407" s="5" t="s">
        <v>4</v>
      </c>
      <c r="C407">
        <v>1</v>
      </c>
      <c r="D407">
        <v>1</v>
      </c>
      <c r="E407">
        <v>149313</v>
      </c>
      <c r="F407">
        <v>97</v>
      </c>
      <c r="G407" s="5" t="s">
        <v>13</v>
      </c>
    </row>
    <row r="408" spans="1:7" x14ac:dyDescent="0.25">
      <c r="A408" s="5" t="s">
        <v>414</v>
      </c>
      <c r="B408" s="5" t="s">
        <v>4</v>
      </c>
      <c r="C408">
        <v>3</v>
      </c>
      <c r="D408">
        <v>1</v>
      </c>
      <c r="E408">
        <v>49356</v>
      </c>
      <c r="F408">
        <v>94</v>
      </c>
      <c r="G408" s="5" t="s">
        <v>8</v>
      </c>
    </row>
    <row r="409" spans="1:7" x14ac:dyDescent="0.25">
      <c r="A409" s="5" t="s">
        <v>415</v>
      </c>
      <c r="B409" s="5" t="s">
        <v>4</v>
      </c>
      <c r="C409">
        <v>5</v>
      </c>
      <c r="D409">
        <v>1</v>
      </c>
      <c r="E409">
        <v>79213</v>
      </c>
      <c r="F409">
        <v>112</v>
      </c>
      <c r="G409" s="5" t="s">
        <v>8</v>
      </c>
    </row>
    <row r="410" spans="1:7" x14ac:dyDescent="0.25">
      <c r="A410" s="5" t="s">
        <v>416</v>
      </c>
      <c r="B410" s="5" t="s">
        <v>7</v>
      </c>
      <c r="C410">
        <v>2</v>
      </c>
      <c r="D410">
        <v>1</v>
      </c>
      <c r="E410">
        <v>51456</v>
      </c>
      <c r="F410">
        <v>66</v>
      </c>
      <c r="G410" s="5" t="s">
        <v>8</v>
      </c>
    </row>
    <row r="411" spans="1:7" x14ac:dyDescent="0.25">
      <c r="A411" s="5" t="s">
        <v>417</v>
      </c>
      <c r="B411" s="5" t="s">
        <v>7</v>
      </c>
      <c r="C411">
        <v>2</v>
      </c>
      <c r="D411">
        <v>1</v>
      </c>
      <c r="E411">
        <v>50176</v>
      </c>
      <c r="F411">
        <v>10</v>
      </c>
      <c r="G411" s="5" t="s">
        <v>8</v>
      </c>
    </row>
    <row r="412" spans="1:7" x14ac:dyDescent="0.25">
      <c r="A412" s="5" t="s">
        <v>418</v>
      </c>
      <c r="B412" s="5" t="s">
        <v>4</v>
      </c>
      <c r="C412">
        <v>1</v>
      </c>
      <c r="D412">
        <v>1</v>
      </c>
      <c r="E412">
        <v>49971</v>
      </c>
      <c r="F412">
        <v>83</v>
      </c>
      <c r="G412" s="5" t="s">
        <v>8</v>
      </c>
    </row>
    <row r="413" spans="1:7" x14ac:dyDescent="0.25">
      <c r="A413" s="5" t="s">
        <v>419</v>
      </c>
      <c r="B413" s="5" t="s">
        <v>7</v>
      </c>
      <c r="C413">
        <v>3</v>
      </c>
      <c r="D413">
        <v>1</v>
      </c>
      <c r="E413">
        <v>48813</v>
      </c>
      <c r="F413">
        <v>14</v>
      </c>
      <c r="G413" s="5" t="s">
        <v>13</v>
      </c>
    </row>
    <row r="414" spans="1:7" x14ac:dyDescent="0.25">
      <c r="A414" s="5" t="s">
        <v>420</v>
      </c>
      <c r="B414" s="5" t="s">
        <v>7</v>
      </c>
      <c r="C414">
        <v>3</v>
      </c>
      <c r="D414">
        <v>1</v>
      </c>
      <c r="E414">
        <v>80090</v>
      </c>
      <c r="F414">
        <v>18</v>
      </c>
      <c r="G414" s="5" t="s">
        <v>13</v>
      </c>
    </row>
    <row r="415" spans="1:7" x14ac:dyDescent="0.25">
      <c r="A415" s="5" t="s">
        <v>421</v>
      </c>
      <c r="B415" s="5" t="s">
        <v>7</v>
      </c>
      <c r="C415">
        <v>4</v>
      </c>
      <c r="D415">
        <v>1</v>
      </c>
      <c r="E415">
        <v>24905</v>
      </c>
      <c r="F415">
        <v>74</v>
      </c>
      <c r="G415" s="5" t="s">
        <v>13</v>
      </c>
    </row>
    <row r="416" spans="1:7" x14ac:dyDescent="0.25">
      <c r="A416" s="5" t="s">
        <v>422</v>
      </c>
      <c r="B416" s="5" t="s">
        <v>4</v>
      </c>
      <c r="C416">
        <v>2</v>
      </c>
      <c r="D416">
        <v>1</v>
      </c>
      <c r="E416">
        <v>9695</v>
      </c>
      <c r="F416">
        <v>45</v>
      </c>
      <c r="G416" s="5" t="s">
        <v>8</v>
      </c>
    </row>
    <row r="417" spans="1:7" x14ac:dyDescent="0.25">
      <c r="A417" s="5" t="s">
        <v>423</v>
      </c>
      <c r="B417" s="5" t="s">
        <v>7</v>
      </c>
      <c r="C417">
        <v>2</v>
      </c>
      <c r="D417">
        <v>1</v>
      </c>
      <c r="E417">
        <v>11851</v>
      </c>
      <c r="F417">
        <v>50</v>
      </c>
      <c r="G417" s="5" t="s">
        <v>13</v>
      </c>
    </row>
    <row r="418" spans="1:7" x14ac:dyDescent="0.25">
      <c r="A418" s="5" t="s">
        <v>424</v>
      </c>
      <c r="B418" s="5" t="s">
        <v>4</v>
      </c>
      <c r="C418">
        <v>3</v>
      </c>
      <c r="D418">
        <v>1</v>
      </c>
      <c r="E418">
        <v>51758</v>
      </c>
      <c r="F418">
        <v>39</v>
      </c>
      <c r="G418" s="5" t="s">
        <v>13</v>
      </c>
    </row>
    <row r="419" spans="1:7" x14ac:dyDescent="0.25">
      <c r="A419" s="5" t="s">
        <v>425</v>
      </c>
      <c r="B419" s="5" t="s">
        <v>7</v>
      </c>
      <c r="C419">
        <v>2</v>
      </c>
      <c r="D419">
        <v>1</v>
      </c>
      <c r="E419">
        <v>25531</v>
      </c>
      <c r="F419">
        <v>18</v>
      </c>
      <c r="G419" s="5" t="s">
        <v>8</v>
      </c>
    </row>
    <row r="420" spans="1:7" x14ac:dyDescent="0.25">
      <c r="A420" s="5" t="s">
        <v>426</v>
      </c>
      <c r="B420" s="5" t="s">
        <v>7</v>
      </c>
      <c r="C420">
        <v>1</v>
      </c>
      <c r="D420">
        <v>1</v>
      </c>
      <c r="E420">
        <v>27427</v>
      </c>
      <c r="F420">
        <v>58</v>
      </c>
      <c r="G420" s="5" t="s">
        <v>5</v>
      </c>
    </row>
    <row r="421" spans="1:7" x14ac:dyDescent="0.25">
      <c r="A421" s="5" t="s">
        <v>427</v>
      </c>
      <c r="B421" s="5" t="s">
        <v>4</v>
      </c>
      <c r="C421">
        <v>2</v>
      </c>
      <c r="D421">
        <v>1</v>
      </c>
      <c r="E421">
        <v>47759</v>
      </c>
      <c r="F421">
        <v>106</v>
      </c>
      <c r="G421" s="5" t="s">
        <v>8</v>
      </c>
    </row>
    <row r="422" spans="1:7" x14ac:dyDescent="0.25">
      <c r="A422" s="5" t="s">
        <v>428</v>
      </c>
      <c r="B422" s="5" t="s">
        <v>7</v>
      </c>
      <c r="C422">
        <v>1</v>
      </c>
      <c r="D422">
        <v>1</v>
      </c>
      <c r="E422">
        <v>12296</v>
      </c>
      <c r="F422">
        <v>44</v>
      </c>
      <c r="G422" s="5" t="s">
        <v>8</v>
      </c>
    </row>
    <row r="423" spans="1:7" x14ac:dyDescent="0.25">
      <c r="A423" s="5" t="s">
        <v>429</v>
      </c>
      <c r="B423" s="5" t="s">
        <v>4</v>
      </c>
      <c r="C423">
        <v>3</v>
      </c>
      <c r="D423">
        <v>1</v>
      </c>
      <c r="E423">
        <v>10066</v>
      </c>
      <c r="F423">
        <v>77</v>
      </c>
      <c r="G423" s="5" t="s">
        <v>5</v>
      </c>
    </row>
    <row r="424" spans="1:7" x14ac:dyDescent="0.25">
      <c r="A424" s="5" t="s">
        <v>430</v>
      </c>
      <c r="B424" s="5" t="s">
        <v>7</v>
      </c>
      <c r="C424">
        <v>1</v>
      </c>
      <c r="D424">
        <v>1</v>
      </c>
      <c r="E424">
        <v>11771</v>
      </c>
      <c r="F424">
        <v>103</v>
      </c>
      <c r="G424" s="5" t="s">
        <v>13</v>
      </c>
    </row>
    <row r="425" spans="1:7" x14ac:dyDescent="0.25">
      <c r="A425" s="5" t="s">
        <v>431</v>
      </c>
      <c r="B425" s="5" t="s">
        <v>7</v>
      </c>
      <c r="C425">
        <v>2</v>
      </c>
      <c r="D425">
        <v>1</v>
      </c>
      <c r="E425">
        <v>23289</v>
      </c>
      <c r="F425">
        <v>53</v>
      </c>
      <c r="G425" s="5" t="s">
        <v>5</v>
      </c>
    </row>
    <row r="426" spans="1:7" x14ac:dyDescent="0.25">
      <c r="A426" s="5" t="s">
        <v>432</v>
      </c>
      <c r="B426" s="5" t="s">
        <v>4</v>
      </c>
      <c r="C426">
        <v>3</v>
      </c>
      <c r="D426">
        <v>1</v>
      </c>
      <c r="E426">
        <v>9418</v>
      </c>
      <c r="F426">
        <v>115</v>
      </c>
      <c r="G426" s="5" t="s">
        <v>5</v>
      </c>
    </row>
    <row r="427" spans="1:7" x14ac:dyDescent="0.25">
      <c r="A427" s="5" t="s">
        <v>433</v>
      </c>
      <c r="B427" s="5" t="s">
        <v>7</v>
      </c>
      <c r="C427">
        <v>3</v>
      </c>
      <c r="D427">
        <v>1</v>
      </c>
      <c r="E427">
        <v>8404</v>
      </c>
      <c r="F427">
        <v>114</v>
      </c>
      <c r="G427" s="5" t="s">
        <v>8</v>
      </c>
    </row>
    <row r="428" spans="1:7" x14ac:dyDescent="0.25">
      <c r="A428" s="5" t="s">
        <v>434</v>
      </c>
      <c r="B428" s="5" t="s">
        <v>4</v>
      </c>
      <c r="C428">
        <v>2</v>
      </c>
      <c r="D428">
        <v>1</v>
      </c>
      <c r="E428">
        <v>50157</v>
      </c>
      <c r="F428">
        <v>44</v>
      </c>
      <c r="G428" s="5" t="s">
        <v>13</v>
      </c>
    </row>
    <row r="429" spans="1:7" x14ac:dyDescent="0.25">
      <c r="A429" s="5" t="s">
        <v>435</v>
      </c>
      <c r="B429" s="5" t="s">
        <v>4</v>
      </c>
      <c r="C429">
        <v>4</v>
      </c>
      <c r="D429">
        <v>1</v>
      </c>
      <c r="E429">
        <v>10500</v>
      </c>
      <c r="F429">
        <v>61</v>
      </c>
      <c r="G429" s="5" t="s">
        <v>8</v>
      </c>
    </row>
    <row r="430" spans="1:7" x14ac:dyDescent="0.25">
      <c r="A430" s="5" t="s">
        <v>436</v>
      </c>
      <c r="B430" s="5" t="s">
        <v>7</v>
      </c>
      <c r="C430">
        <v>3</v>
      </c>
      <c r="D430">
        <v>1</v>
      </c>
      <c r="E430">
        <v>148513</v>
      </c>
      <c r="F430">
        <v>71</v>
      </c>
      <c r="G430" s="5" t="s">
        <v>8</v>
      </c>
    </row>
    <row r="431" spans="1:7" x14ac:dyDescent="0.25">
      <c r="A431" s="5" t="s">
        <v>437</v>
      </c>
      <c r="B431" s="5" t="s">
        <v>7</v>
      </c>
      <c r="C431">
        <v>3</v>
      </c>
      <c r="D431">
        <v>1</v>
      </c>
      <c r="E431">
        <v>49592</v>
      </c>
      <c r="F431">
        <v>111</v>
      </c>
      <c r="G431" s="5" t="s">
        <v>5</v>
      </c>
    </row>
    <row r="432" spans="1:7" x14ac:dyDescent="0.25">
      <c r="A432" s="5" t="s">
        <v>438</v>
      </c>
      <c r="B432" s="5" t="s">
        <v>4</v>
      </c>
      <c r="C432">
        <v>1</v>
      </c>
      <c r="D432">
        <v>1</v>
      </c>
      <c r="E432">
        <v>49660</v>
      </c>
      <c r="F432">
        <v>56</v>
      </c>
      <c r="G432" s="5" t="s">
        <v>5</v>
      </c>
    </row>
    <row r="433" spans="1:7" x14ac:dyDescent="0.25">
      <c r="A433" s="5" t="s">
        <v>439</v>
      </c>
      <c r="B433" s="5" t="s">
        <v>7</v>
      </c>
      <c r="C433">
        <v>4</v>
      </c>
      <c r="D433">
        <v>1</v>
      </c>
      <c r="E433">
        <v>9416</v>
      </c>
      <c r="F433">
        <v>119</v>
      </c>
      <c r="G433" s="5" t="s">
        <v>8</v>
      </c>
    </row>
    <row r="434" spans="1:7" x14ac:dyDescent="0.25">
      <c r="A434" s="5" t="s">
        <v>440</v>
      </c>
      <c r="B434" s="5" t="s">
        <v>7</v>
      </c>
      <c r="C434">
        <v>1</v>
      </c>
      <c r="D434">
        <v>1</v>
      </c>
      <c r="E434">
        <v>50494</v>
      </c>
      <c r="F434">
        <v>0</v>
      </c>
      <c r="G434" s="5" t="s">
        <v>5</v>
      </c>
    </row>
    <row r="435" spans="1:7" x14ac:dyDescent="0.25">
      <c r="A435" s="5" t="s">
        <v>441</v>
      </c>
      <c r="B435" s="5" t="s">
        <v>7</v>
      </c>
      <c r="C435">
        <v>2</v>
      </c>
      <c r="D435">
        <v>1</v>
      </c>
      <c r="E435">
        <v>48088</v>
      </c>
      <c r="F435">
        <v>114</v>
      </c>
      <c r="G435" s="5" t="s">
        <v>8</v>
      </c>
    </row>
    <row r="436" spans="1:7" x14ac:dyDescent="0.25">
      <c r="A436" s="5" t="s">
        <v>442</v>
      </c>
      <c r="B436" s="5" t="s">
        <v>4</v>
      </c>
      <c r="C436">
        <v>2</v>
      </c>
      <c r="D436">
        <v>1</v>
      </c>
      <c r="E436">
        <v>50786</v>
      </c>
      <c r="F436">
        <v>83</v>
      </c>
      <c r="G436" s="5" t="s">
        <v>8</v>
      </c>
    </row>
    <row r="437" spans="1:7" x14ac:dyDescent="0.25">
      <c r="A437" s="5" t="s">
        <v>443</v>
      </c>
      <c r="B437" s="5" t="s">
        <v>7</v>
      </c>
      <c r="C437">
        <v>4</v>
      </c>
      <c r="D437">
        <v>1</v>
      </c>
      <c r="E437">
        <v>24025</v>
      </c>
      <c r="F437">
        <v>63</v>
      </c>
      <c r="G437" s="5" t="s">
        <v>13</v>
      </c>
    </row>
    <row r="438" spans="1:7" x14ac:dyDescent="0.25">
      <c r="A438" s="5" t="s">
        <v>444</v>
      </c>
      <c r="B438" s="5" t="s">
        <v>4</v>
      </c>
      <c r="C438">
        <v>1</v>
      </c>
      <c r="D438">
        <v>1</v>
      </c>
      <c r="E438">
        <v>26459</v>
      </c>
      <c r="F438">
        <v>4</v>
      </c>
      <c r="G438" s="5" t="s">
        <v>5</v>
      </c>
    </row>
    <row r="439" spans="1:7" x14ac:dyDescent="0.25">
      <c r="A439" s="5" t="s">
        <v>445</v>
      </c>
      <c r="B439" s="5" t="s">
        <v>7</v>
      </c>
      <c r="C439">
        <v>2</v>
      </c>
      <c r="D439">
        <v>1</v>
      </c>
      <c r="E439">
        <v>23922</v>
      </c>
      <c r="F439">
        <v>23</v>
      </c>
      <c r="G439" s="5" t="s">
        <v>13</v>
      </c>
    </row>
    <row r="440" spans="1:7" x14ac:dyDescent="0.25">
      <c r="A440" s="5" t="s">
        <v>446</v>
      </c>
      <c r="B440" s="5" t="s">
        <v>7</v>
      </c>
      <c r="C440">
        <v>2</v>
      </c>
      <c r="D440">
        <v>1</v>
      </c>
      <c r="E440">
        <v>8605</v>
      </c>
      <c r="F440">
        <v>49</v>
      </c>
      <c r="G440" s="5" t="s">
        <v>8</v>
      </c>
    </row>
    <row r="441" spans="1:7" x14ac:dyDescent="0.25">
      <c r="A441" s="5" t="s">
        <v>447</v>
      </c>
      <c r="B441" s="5" t="s">
        <v>7</v>
      </c>
      <c r="C441">
        <v>1</v>
      </c>
      <c r="D441">
        <v>1</v>
      </c>
      <c r="E441">
        <v>26266</v>
      </c>
      <c r="F441">
        <v>115</v>
      </c>
      <c r="G441" s="5" t="s">
        <v>8</v>
      </c>
    </row>
    <row r="442" spans="1:7" x14ac:dyDescent="0.25">
      <c r="A442" s="5" t="s">
        <v>448</v>
      </c>
      <c r="B442" s="5" t="s">
        <v>7</v>
      </c>
      <c r="C442">
        <v>4</v>
      </c>
      <c r="D442">
        <v>1</v>
      </c>
      <c r="E442">
        <v>10838</v>
      </c>
      <c r="F442">
        <v>69</v>
      </c>
      <c r="G442" s="5" t="s">
        <v>8</v>
      </c>
    </row>
    <row r="443" spans="1:7" x14ac:dyDescent="0.25">
      <c r="A443" s="5" t="s">
        <v>449</v>
      </c>
      <c r="B443" s="5" t="s">
        <v>4</v>
      </c>
      <c r="C443">
        <v>3</v>
      </c>
      <c r="D443">
        <v>1</v>
      </c>
      <c r="E443">
        <v>10905</v>
      </c>
      <c r="F443">
        <v>64</v>
      </c>
      <c r="G443" s="5" t="s">
        <v>8</v>
      </c>
    </row>
    <row r="444" spans="1:7" x14ac:dyDescent="0.25">
      <c r="A444" s="5" t="s">
        <v>450</v>
      </c>
      <c r="B444" s="5" t="s">
        <v>7</v>
      </c>
      <c r="C444">
        <v>2</v>
      </c>
      <c r="D444">
        <v>1</v>
      </c>
      <c r="E444">
        <v>152513</v>
      </c>
      <c r="F444">
        <v>116</v>
      </c>
      <c r="G444" s="5" t="s">
        <v>5</v>
      </c>
    </row>
    <row r="445" spans="1:7" x14ac:dyDescent="0.25">
      <c r="A445" s="5" t="s">
        <v>451</v>
      </c>
      <c r="B445" s="5" t="s">
        <v>7</v>
      </c>
      <c r="C445">
        <v>4</v>
      </c>
      <c r="D445">
        <v>1</v>
      </c>
      <c r="E445">
        <v>11414</v>
      </c>
      <c r="F445">
        <v>22</v>
      </c>
      <c r="G445" s="5" t="s">
        <v>8</v>
      </c>
    </row>
    <row r="446" spans="1:7" x14ac:dyDescent="0.25">
      <c r="A446" s="5" t="s">
        <v>452</v>
      </c>
      <c r="B446" s="5" t="s">
        <v>4</v>
      </c>
      <c r="C446">
        <v>2</v>
      </c>
      <c r="D446">
        <v>1</v>
      </c>
      <c r="E446">
        <v>46924</v>
      </c>
      <c r="F446">
        <v>12</v>
      </c>
      <c r="G446" s="5" t="s">
        <v>13</v>
      </c>
    </row>
    <row r="447" spans="1:7" x14ac:dyDescent="0.25">
      <c r="A447" s="5" t="s">
        <v>453</v>
      </c>
      <c r="B447" s="5" t="s">
        <v>7</v>
      </c>
      <c r="C447">
        <v>2</v>
      </c>
      <c r="D447">
        <v>1</v>
      </c>
      <c r="E447">
        <v>24773</v>
      </c>
      <c r="F447">
        <v>31</v>
      </c>
      <c r="G447" s="5" t="s">
        <v>8</v>
      </c>
    </row>
    <row r="448" spans="1:7" x14ac:dyDescent="0.25">
      <c r="A448" s="5" t="s">
        <v>454</v>
      </c>
      <c r="B448" s="5" t="s">
        <v>4</v>
      </c>
      <c r="C448">
        <v>4</v>
      </c>
      <c r="D448">
        <v>1</v>
      </c>
      <c r="E448">
        <v>77664</v>
      </c>
      <c r="F448">
        <v>115</v>
      </c>
      <c r="G448" s="5" t="s">
        <v>8</v>
      </c>
    </row>
    <row r="449" spans="1:7" x14ac:dyDescent="0.25">
      <c r="A449" s="5" t="s">
        <v>455</v>
      </c>
      <c r="B449" s="5" t="s">
        <v>7</v>
      </c>
      <c r="C449">
        <v>1</v>
      </c>
      <c r="D449">
        <v>1</v>
      </c>
      <c r="E449">
        <v>80365</v>
      </c>
      <c r="F449">
        <v>72</v>
      </c>
      <c r="G449" s="5" t="s">
        <v>5</v>
      </c>
    </row>
    <row r="450" spans="1:7" x14ac:dyDescent="0.25">
      <c r="A450" s="5" t="s">
        <v>456</v>
      </c>
      <c r="B450" s="5" t="s">
        <v>7</v>
      </c>
      <c r="C450">
        <v>3</v>
      </c>
      <c r="D450">
        <v>1</v>
      </c>
      <c r="E450">
        <v>11581</v>
      </c>
      <c r="F450">
        <v>26</v>
      </c>
      <c r="G450" s="5" t="s">
        <v>8</v>
      </c>
    </row>
    <row r="451" spans="1:7" x14ac:dyDescent="0.25">
      <c r="A451" s="5" t="s">
        <v>457</v>
      </c>
      <c r="B451" s="5" t="s">
        <v>4</v>
      </c>
      <c r="C451">
        <v>2</v>
      </c>
      <c r="D451">
        <v>1</v>
      </c>
      <c r="E451">
        <v>49080</v>
      </c>
      <c r="F451">
        <v>111</v>
      </c>
      <c r="G451" s="5" t="s">
        <v>13</v>
      </c>
    </row>
    <row r="452" spans="1:7" x14ac:dyDescent="0.25">
      <c r="A452" s="5" t="s">
        <v>458</v>
      </c>
      <c r="B452" s="5" t="s">
        <v>4</v>
      </c>
      <c r="C452">
        <v>2</v>
      </c>
      <c r="D452">
        <v>1</v>
      </c>
      <c r="E452">
        <v>11159</v>
      </c>
      <c r="F452">
        <v>11</v>
      </c>
      <c r="G452" s="5" t="s">
        <v>13</v>
      </c>
    </row>
    <row r="453" spans="1:7" x14ac:dyDescent="0.25">
      <c r="A453" s="5" t="s">
        <v>459</v>
      </c>
      <c r="B453" s="5" t="s">
        <v>4</v>
      </c>
      <c r="C453">
        <v>1</v>
      </c>
      <c r="D453">
        <v>1</v>
      </c>
      <c r="E453">
        <v>80072</v>
      </c>
      <c r="F453">
        <v>19</v>
      </c>
      <c r="G453" s="5" t="s">
        <v>8</v>
      </c>
    </row>
    <row r="454" spans="1:7" x14ac:dyDescent="0.25">
      <c r="A454" s="5" t="s">
        <v>460</v>
      </c>
      <c r="B454" s="5" t="s">
        <v>7</v>
      </c>
      <c r="C454">
        <v>2</v>
      </c>
      <c r="D454">
        <v>1</v>
      </c>
      <c r="E454">
        <v>26286</v>
      </c>
      <c r="F454">
        <v>43</v>
      </c>
      <c r="G454" s="5" t="s">
        <v>5</v>
      </c>
    </row>
    <row r="455" spans="1:7" x14ac:dyDescent="0.25">
      <c r="A455" s="5" t="s">
        <v>461</v>
      </c>
      <c r="B455" s="5" t="s">
        <v>7</v>
      </c>
      <c r="C455">
        <v>3</v>
      </c>
      <c r="D455">
        <v>1</v>
      </c>
      <c r="E455">
        <v>24539</v>
      </c>
      <c r="F455">
        <v>58</v>
      </c>
      <c r="G455" s="5" t="s">
        <v>8</v>
      </c>
    </row>
    <row r="456" spans="1:7" x14ac:dyDescent="0.25">
      <c r="A456" s="5" t="s">
        <v>462</v>
      </c>
      <c r="B456" s="5" t="s">
        <v>7</v>
      </c>
      <c r="C456">
        <v>2</v>
      </c>
      <c r="D456">
        <v>1</v>
      </c>
      <c r="E456">
        <v>152586</v>
      </c>
      <c r="F456">
        <v>63</v>
      </c>
      <c r="G456" s="5" t="s">
        <v>5</v>
      </c>
    </row>
    <row r="457" spans="1:7" x14ac:dyDescent="0.25">
      <c r="A457" s="5" t="s">
        <v>463</v>
      </c>
      <c r="B457" s="5" t="s">
        <v>7</v>
      </c>
      <c r="C457">
        <v>3</v>
      </c>
      <c r="D457">
        <v>1</v>
      </c>
      <c r="E457">
        <v>51450</v>
      </c>
      <c r="F457">
        <v>56</v>
      </c>
      <c r="G457" s="5" t="s">
        <v>8</v>
      </c>
    </row>
    <row r="458" spans="1:7" x14ac:dyDescent="0.25">
      <c r="A458" s="5" t="s">
        <v>464</v>
      </c>
      <c r="B458" s="5" t="s">
        <v>7</v>
      </c>
      <c r="C458">
        <v>3</v>
      </c>
      <c r="D458">
        <v>1</v>
      </c>
      <c r="E458">
        <v>79681</v>
      </c>
      <c r="F458">
        <v>89</v>
      </c>
      <c r="G458" s="5" t="s">
        <v>13</v>
      </c>
    </row>
    <row r="459" spans="1:7" x14ac:dyDescent="0.25">
      <c r="A459" s="5" t="s">
        <v>465</v>
      </c>
      <c r="B459" s="5" t="s">
        <v>7</v>
      </c>
      <c r="C459">
        <v>2</v>
      </c>
      <c r="D459">
        <v>1</v>
      </c>
      <c r="E459">
        <v>24389</v>
      </c>
      <c r="F459">
        <v>86</v>
      </c>
      <c r="G459" s="5" t="s">
        <v>5</v>
      </c>
    </row>
    <row r="460" spans="1:7" x14ac:dyDescent="0.25">
      <c r="A460" s="5" t="s">
        <v>466</v>
      </c>
      <c r="B460" s="5" t="s">
        <v>4</v>
      </c>
      <c r="C460">
        <v>2</v>
      </c>
      <c r="D460">
        <v>1</v>
      </c>
      <c r="E460">
        <v>49164</v>
      </c>
      <c r="F460">
        <v>66</v>
      </c>
      <c r="G460" s="5" t="s">
        <v>13</v>
      </c>
    </row>
    <row r="461" spans="1:7" x14ac:dyDescent="0.25">
      <c r="A461" s="5" t="s">
        <v>467</v>
      </c>
      <c r="B461" s="5" t="s">
        <v>7</v>
      </c>
      <c r="C461">
        <v>3</v>
      </c>
      <c r="D461">
        <v>1</v>
      </c>
      <c r="E461">
        <v>48941</v>
      </c>
      <c r="F461">
        <v>88</v>
      </c>
      <c r="G461" s="5" t="s">
        <v>5</v>
      </c>
    </row>
    <row r="462" spans="1:7" x14ac:dyDescent="0.25">
      <c r="A462" s="5" t="s">
        <v>468</v>
      </c>
      <c r="B462" s="5" t="s">
        <v>4</v>
      </c>
      <c r="C462">
        <v>2</v>
      </c>
      <c r="D462">
        <v>1</v>
      </c>
      <c r="E462">
        <v>49161</v>
      </c>
      <c r="F462">
        <v>28</v>
      </c>
      <c r="G462" s="5" t="s">
        <v>8</v>
      </c>
    </row>
    <row r="463" spans="1:7" x14ac:dyDescent="0.25">
      <c r="A463" s="5" t="s">
        <v>469</v>
      </c>
      <c r="B463" s="5" t="s">
        <v>7</v>
      </c>
      <c r="C463">
        <v>5</v>
      </c>
      <c r="D463">
        <v>1</v>
      </c>
      <c r="E463">
        <v>49994</v>
      </c>
      <c r="F463">
        <v>15</v>
      </c>
      <c r="G463" s="5" t="s">
        <v>8</v>
      </c>
    </row>
    <row r="464" spans="1:7" x14ac:dyDescent="0.25">
      <c r="A464" s="5" t="s">
        <v>470</v>
      </c>
      <c r="B464" s="5" t="s">
        <v>4</v>
      </c>
      <c r="C464">
        <v>2</v>
      </c>
      <c r="D464">
        <v>1</v>
      </c>
      <c r="E464">
        <v>49454</v>
      </c>
      <c r="F464">
        <v>31</v>
      </c>
      <c r="G464" s="5" t="s">
        <v>5</v>
      </c>
    </row>
    <row r="465" spans="1:7" x14ac:dyDescent="0.25">
      <c r="A465" s="5" t="s">
        <v>471</v>
      </c>
      <c r="B465" s="5" t="s">
        <v>7</v>
      </c>
      <c r="C465">
        <v>1</v>
      </c>
      <c r="D465">
        <v>1</v>
      </c>
      <c r="E465">
        <v>49645</v>
      </c>
      <c r="F465">
        <v>85</v>
      </c>
      <c r="G465" s="5" t="s">
        <v>5</v>
      </c>
    </row>
    <row r="466" spans="1:7" x14ac:dyDescent="0.25">
      <c r="A466" s="5" t="s">
        <v>472</v>
      </c>
      <c r="B466" s="5" t="s">
        <v>7</v>
      </c>
      <c r="C466">
        <v>2</v>
      </c>
      <c r="D466">
        <v>1</v>
      </c>
      <c r="E466">
        <v>53061</v>
      </c>
      <c r="F466">
        <v>27</v>
      </c>
      <c r="G466" s="5" t="s">
        <v>5</v>
      </c>
    </row>
    <row r="467" spans="1:7" x14ac:dyDescent="0.25">
      <c r="A467" s="5" t="s">
        <v>473</v>
      </c>
      <c r="B467" s="5" t="s">
        <v>7</v>
      </c>
      <c r="C467">
        <v>2</v>
      </c>
      <c r="D467">
        <v>1</v>
      </c>
      <c r="E467">
        <v>9889</v>
      </c>
      <c r="F467">
        <v>59</v>
      </c>
      <c r="G467" s="5" t="s">
        <v>5</v>
      </c>
    </row>
    <row r="468" spans="1:7" x14ac:dyDescent="0.25">
      <c r="A468" s="5" t="s">
        <v>474</v>
      </c>
      <c r="B468" s="5" t="s">
        <v>7</v>
      </c>
      <c r="C468">
        <v>3</v>
      </c>
      <c r="D468">
        <v>1</v>
      </c>
      <c r="E468">
        <v>52442</v>
      </c>
      <c r="F468">
        <v>4</v>
      </c>
      <c r="G468" s="5" t="s">
        <v>8</v>
      </c>
    </row>
    <row r="469" spans="1:7" x14ac:dyDescent="0.25">
      <c r="A469" s="5" t="s">
        <v>475</v>
      </c>
      <c r="B469" s="5" t="s">
        <v>4</v>
      </c>
      <c r="C469">
        <v>3</v>
      </c>
      <c r="D469">
        <v>1</v>
      </c>
      <c r="E469">
        <v>11123</v>
      </c>
      <c r="F469">
        <v>30</v>
      </c>
      <c r="G469" s="5" t="s">
        <v>13</v>
      </c>
    </row>
    <row r="470" spans="1:7" x14ac:dyDescent="0.25">
      <c r="A470" s="5" t="s">
        <v>476</v>
      </c>
      <c r="B470" s="5" t="s">
        <v>7</v>
      </c>
      <c r="C470">
        <v>2</v>
      </c>
      <c r="D470">
        <v>1</v>
      </c>
      <c r="E470">
        <v>78056</v>
      </c>
      <c r="F470">
        <v>94</v>
      </c>
      <c r="G470" s="5" t="s">
        <v>8</v>
      </c>
    </row>
    <row r="471" spans="1:7" x14ac:dyDescent="0.25">
      <c r="A471" s="5" t="s">
        <v>477</v>
      </c>
      <c r="B471" s="5" t="s">
        <v>4</v>
      </c>
      <c r="C471">
        <v>1</v>
      </c>
      <c r="D471">
        <v>1</v>
      </c>
      <c r="E471">
        <v>49543</v>
      </c>
      <c r="F471">
        <v>59</v>
      </c>
      <c r="G471" s="5" t="s">
        <v>5</v>
      </c>
    </row>
    <row r="472" spans="1:7" x14ac:dyDescent="0.25">
      <c r="A472" s="5" t="s">
        <v>478</v>
      </c>
      <c r="B472" s="5" t="s">
        <v>7</v>
      </c>
      <c r="C472">
        <v>2</v>
      </c>
      <c r="D472">
        <v>1</v>
      </c>
      <c r="E472">
        <v>26919</v>
      </c>
      <c r="F472">
        <v>34</v>
      </c>
      <c r="G472" s="5" t="s">
        <v>5</v>
      </c>
    </row>
    <row r="473" spans="1:7" x14ac:dyDescent="0.25">
      <c r="A473" s="5" t="s">
        <v>479</v>
      </c>
      <c r="B473" s="5" t="s">
        <v>4</v>
      </c>
      <c r="C473">
        <v>1</v>
      </c>
      <c r="D473">
        <v>1</v>
      </c>
      <c r="E473">
        <v>25572</v>
      </c>
      <c r="F473">
        <v>112</v>
      </c>
      <c r="G473" s="5" t="s">
        <v>8</v>
      </c>
    </row>
    <row r="474" spans="1:7" x14ac:dyDescent="0.25">
      <c r="A474" s="5" t="s">
        <v>480</v>
      </c>
      <c r="B474" s="5" t="s">
        <v>4</v>
      </c>
      <c r="C474">
        <v>2</v>
      </c>
      <c r="D474">
        <v>1</v>
      </c>
      <c r="E474">
        <v>9055</v>
      </c>
      <c r="F474">
        <v>96</v>
      </c>
      <c r="G474" s="5" t="s">
        <v>5</v>
      </c>
    </row>
    <row r="475" spans="1:7" x14ac:dyDescent="0.25">
      <c r="A475" s="5" t="s">
        <v>481</v>
      </c>
      <c r="B475" s="5" t="s">
        <v>7</v>
      </c>
      <c r="C475">
        <v>4</v>
      </c>
      <c r="D475">
        <v>1</v>
      </c>
      <c r="E475">
        <v>50600</v>
      </c>
      <c r="F475">
        <v>59</v>
      </c>
      <c r="G475" s="5" t="s">
        <v>8</v>
      </c>
    </row>
    <row r="476" spans="1:7" x14ac:dyDescent="0.25">
      <c r="A476" s="5" t="s">
        <v>482</v>
      </c>
      <c r="B476" s="5" t="s">
        <v>7</v>
      </c>
      <c r="C476">
        <v>4</v>
      </c>
      <c r="D476">
        <v>1</v>
      </c>
      <c r="E476">
        <v>49694</v>
      </c>
      <c r="F476">
        <v>11</v>
      </c>
      <c r="G476" s="5" t="s">
        <v>5</v>
      </c>
    </row>
    <row r="477" spans="1:7" x14ac:dyDescent="0.25">
      <c r="A477" s="5" t="s">
        <v>483</v>
      </c>
      <c r="B477" s="5" t="s">
        <v>7</v>
      </c>
      <c r="C477">
        <v>1</v>
      </c>
      <c r="D477">
        <v>1</v>
      </c>
      <c r="E477">
        <v>23933</v>
      </c>
      <c r="F477">
        <v>71</v>
      </c>
      <c r="G477" s="5" t="s">
        <v>8</v>
      </c>
    </row>
    <row r="478" spans="1:7" x14ac:dyDescent="0.25">
      <c r="A478" s="5" t="s">
        <v>484</v>
      </c>
      <c r="B478" s="5" t="s">
        <v>7</v>
      </c>
      <c r="C478">
        <v>1</v>
      </c>
      <c r="D478">
        <v>1</v>
      </c>
      <c r="E478">
        <v>25766</v>
      </c>
      <c r="F478">
        <v>76</v>
      </c>
      <c r="G478" s="5" t="s">
        <v>13</v>
      </c>
    </row>
    <row r="479" spans="1:7" x14ac:dyDescent="0.25">
      <c r="A479" s="5" t="s">
        <v>485</v>
      </c>
      <c r="B479" s="5" t="s">
        <v>7</v>
      </c>
      <c r="C479">
        <v>2</v>
      </c>
      <c r="D479">
        <v>1</v>
      </c>
      <c r="E479">
        <v>23782</v>
      </c>
      <c r="F479">
        <v>111</v>
      </c>
      <c r="G479" s="5" t="s">
        <v>8</v>
      </c>
    </row>
    <row r="480" spans="1:7" x14ac:dyDescent="0.25">
      <c r="A480" s="5" t="s">
        <v>486</v>
      </c>
      <c r="B480" s="5" t="s">
        <v>4</v>
      </c>
      <c r="C480">
        <v>2</v>
      </c>
      <c r="D480">
        <v>1</v>
      </c>
      <c r="E480">
        <v>51392</v>
      </c>
      <c r="F480">
        <v>72</v>
      </c>
      <c r="G480" s="5" t="s">
        <v>5</v>
      </c>
    </row>
    <row r="481" spans="1:7" x14ac:dyDescent="0.25">
      <c r="A481" s="5" t="s">
        <v>487</v>
      </c>
      <c r="B481" s="5" t="s">
        <v>7</v>
      </c>
      <c r="C481">
        <v>3</v>
      </c>
      <c r="D481">
        <v>1</v>
      </c>
      <c r="E481">
        <v>25080</v>
      </c>
      <c r="F481">
        <v>42</v>
      </c>
      <c r="G481" s="5" t="s">
        <v>13</v>
      </c>
    </row>
    <row r="482" spans="1:7" x14ac:dyDescent="0.25">
      <c r="A482" s="5" t="s">
        <v>488</v>
      </c>
      <c r="B482" s="5" t="s">
        <v>7</v>
      </c>
      <c r="C482">
        <v>3</v>
      </c>
      <c r="D482">
        <v>1</v>
      </c>
      <c r="E482">
        <v>48886</v>
      </c>
      <c r="F482">
        <v>95</v>
      </c>
      <c r="G482" s="5" t="s">
        <v>8</v>
      </c>
    </row>
    <row r="483" spans="1:7" x14ac:dyDescent="0.25">
      <c r="A483" s="5" t="s">
        <v>489</v>
      </c>
      <c r="B483" s="5" t="s">
        <v>7</v>
      </c>
      <c r="C483">
        <v>3</v>
      </c>
      <c r="D483">
        <v>1</v>
      </c>
      <c r="E483">
        <v>9249</v>
      </c>
      <c r="F483">
        <v>53</v>
      </c>
      <c r="G483" s="5" t="s">
        <v>13</v>
      </c>
    </row>
    <row r="484" spans="1:7" x14ac:dyDescent="0.25">
      <c r="A484" s="5" t="s">
        <v>490</v>
      </c>
      <c r="B484" s="5" t="s">
        <v>4</v>
      </c>
      <c r="C484">
        <v>1</v>
      </c>
      <c r="D484">
        <v>1</v>
      </c>
      <c r="E484">
        <v>9282</v>
      </c>
      <c r="F484">
        <v>70</v>
      </c>
      <c r="G484" s="5" t="s">
        <v>13</v>
      </c>
    </row>
    <row r="485" spans="1:7" x14ac:dyDescent="0.25">
      <c r="A485" s="5" t="s">
        <v>491</v>
      </c>
      <c r="B485" s="5" t="s">
        <v>4</v>
      </c>
      <c r="C485">
        <v>1</v>
      </c>
      <c r="D485">
        <v>1</v>
      </c>
      <c r="E485">
        <v>49103</v>
      </c>
      <c r="F485">
        <v>43</v>
      </c>
      <c r="G485" s="5" t="s">
        <v>8</v>
      </c>
    </row>
    <row r="486" spans="1:7" x14ac:dyDescent="0.25">
      <c r="A486" s="5" t="s">
        <v>492</v>
      </c>
      <c r="B486" s="5" t="s">
        <v>7</v>
      </c>
      <c r="C486">
        <v>3</v>
      </c>
      <c r="D486">
        <v>1</v>
      </c>
      <c r="E486">
        <v>26582</v>
      </c>
      <c r="F486">
        <v>83</v>
      </c>
      <c r="G486" s="5" t="s">
        <v>5</v>
      </c>
    </row>
    <row r="487" spans="1:7" x14ac:dyDescent="0.25">
      <c r="A487" s="5" t="s">
        <v>493</v>
      </c>
      <c r="B487" s="5" t="s">
        <v>7</v>
      </c>
      <c r="C487">
        <v>3</v>
      </c>
      <c r="D487">
        <v>1</v>
      </c>
      <c r="E487">
        <v>10954</v>
      </c>
      <c r="F487">
        <v>35</v>
      </c>
      <c r="G487" s="5" t="s">
        <v>5</v>
      </c>
    </row>
    <row r="488" spans="1:7" x14ac:dyDescent="0.25">
      <c r="A488" s="5" t="s">
        <v>494</v>
      </c>
      <c r="B488" s="5" t="s">
        <v>4</v>
      </c>
      <c r="C488">
        <v>1</v>
      </c>
      <c r="D488">
        <v>1</v>
      </c>
      <c r="E488">
        <v>26991</v>
      </c>
      <c r="F488">
        <v>19</v>
      </c>
      <c r="G488" s="5" t="s">
        <v>8</v>
      </c>
    </row>
    <row r="489" spans="1:7" x14ac:dyDescent="0.25">
      <c r="A489" s="5" t="s">
        <v>495</v>
      </c>
      <c r="B489" s="5" t="s">
        <v>7</v>
      </c>
      <c r="C489">
        <v>3</v>
      </c>
      <c r="D489">
        <v>1</v>
      </c>
      <c r="E489">
        <v>80881</v>
      </c>
      <c r="F489">
        <v>84</v>
      </c>
      <c r="G489" s="5" t="s">
        <v>8</v>
      </c>
    </row>
    <row r="490" spans="1:7" x14ac:dyDescent="0.25">
      <c r="A490" s="5" t="s">
        <v>496</v>
      </c>
      <c r="B490" s="5" t="s">
        <v>4</v>
      </c>
      <c r="C490">
        <v>4</v>
      </c>
      <c r="D490">
        <v>1</v>
      </c>
      <c r="E490">
        <v>51740</v>
      </c>
      <c r="F490">
        <v>53</v>
      </c>
      <c r="G490" s="5" t="s">
        <v>8</v>
      </c>
    </row>
    <row r="491" spans="1:7" x14ac:dyDescent="0.25">
      <c r="A491" s="5" t="s">
        <v>497</v>
      </c>
      <c r="B491" s="5" t="s">
        <v>7</v>
      </c>
      <c r="C491">
        <v>2</v>
      </c>
      <c r="D491">
        <v>1</v>
      </c>
      <c r="E491">
        <v>9574</v>
      </c>
      <c r="F491">
        <v>66</v>
      </c>
      <c r="G491" s="5" t="s">
        <v>13</v>
      </c>
    </row>
    <row r="492" spans="1:7" x14ac:dyDescent="0.25">
      <c r="A492" s="5" t="s">
        <v>498</v>
      </c>
      <c r="B492" s="5" t="s">
        <v>7</v>
      </c>
      <c r="C492">
        <v>1</v>
      </c>
      <c r="D492">
        <v>1</v>
      </c>
      <c r="E492">
        <v>25201</v>
      </c>
      <c r="F492">
        <v>108</v>
      </c>
      <c r="G492" s="5" t="s">
        <v>5</v>
      </c>
    </row>
    <row r="493" spans="1:7" x14ac:dyDescent="0.25">
      <c r="A493" s="5" t="s">
        <v>499</v>
      </c>
      <c r="B493" s="5" t="s">
        <v>4</v>
      </c>
      <c r="C493">
        <v>2</v>
      </c>
      <c r="D493">
        <v>1</v>
      </c>
      <c r="E493">
        <v>49623</v>
      </c>
      <c r="F493">
        <v>42</v>
      </c>
      <c r="G493" s="5" t="s">
        <v>8</v>
      </c>
    </row>
    <row r="494" spans="1:7" x14ac:dyDescent="0.25">
      <c r="A494" s="5" t="s">
        <v>500</v>
      </c>
      <c r="B494" s="5" t="s">
        <v>4</v>
      </c>
      <c r="C494">
        <v>2</v>
      </c>
      <c r="D494">
        <v>1</v>
      </c>
      <c r="E494">
        <v>82066</v>
      </c>
      <c r="F494">
        <v>47</v>
      </c>
      <c r="G494" s="5" t="s">
        <v>8</v>
      </c>
    </row>
    <row r="495" spans="1:7" x14ac:dyDescent="0.25">
      <c r="A495" s="5" t="s">
        <v>501</v>
      </c>
      <c r="B495" s="5" t="s">
        <v>4</v>
      </c>
      <c r="C495">
        <v>1</v>
      </c>
      <c r="D495">
        <v>1</v>
      </c>
      <c r="E495">
        <v>23273</v>
      </c>
      <c r="F495">
        <v>60</v>
      </c>
      <c r="G495" s="5" t="s">
        <v>8</v>
      </c>
    </row>
    <row r="496" spans="1:7" x14ac:dyDescent="0.25">
      <c r="A496" s="5" t="s">
        <v>502</v>
      </c>
      <c r="B496" s="5" t="s">
        <v>7</v>
      </c>
      <c r="C496">
        <v>2</v>
      </c>
      <c r="D496">
        <v>1</v>
      </c>
      <c r="E496">
        <v>48392</v>
      </c>
      <c r="F496">
        <v>45</v>
      </c>
      <c r="G496" s="5" t="s">
        <v>5</v>
      </c>
    </row>
    <row r="497" spans="1:7" x14ac:dyDescent="0.25">
      <c r="A497" s="5" t="s">
        <v>503</v>
      </c>
      <c r="B497" s="5" t="s">
        <v>4</v>
      </c>
      <c r="C497">
        <v>3</v>
      </c>
      <c r="D497">
        <v>1</v>
      </c>
      <c r="E497">
        <v>49189</v>
      </c>
      <c r="F497">
        <v>109</v>
      </c>
      <c r="G497" s="5" t="s">
        <v>13</v>
      </c>
    </row>
    <row r="498" spans="1:7" x14ac:dyDescent="0.25">
      <c r="A498" s="5" t="s">
        <v>504</v>
      </c>
      <c r="B498" s="5" t="s">
        <v>4</v>
      </c>
      <c r="C498">
        <v>1</v>
      </c>
      <c r="D498">
        <v>1</v>
      </c>
      <c r="E498">
        <v>9674</v>
      </c>
      <c r="F498">
        <v>28</v>
      </c>
      <c r="G498" s="5" t="s">
        <v>8</v>
      </c>
    </row>
    <row r="499" spans="1:7" x14ac:dyDescent="0.25">
      <c r="A499" s="5" t="s">
        <v>505</v>
      </c>
      <c r="B499" s="5" t="s">
        <v>7</v>
      </c>
      <c r="C499">
        <v>1</v>
      </c>
      <c r="D499">
        <v>1</v>
      </c>
      <c r="E499">
        <v>10965</v>
      </c>
      <c r="F499">
        <v>79</v>
      </c>
      <c r="G499" s="5" t="s">
        <v>13</v>
      </c>
    </row>
    <row r="500" spans="1:7" x14ac:dyDescent="0.25">
      <c r="A500" s="5" t="s">
        <v>506</v>
      </c>
      <c r="B500" s="5" t="s">
        <v>7</v>
      </c>
      <c r="C500">
        <v>1</v>
      </c>
      <c r="D500">
        <v>1</v>
      </c>
      <c r="E500">
        <v>24827</v>
      </c>
      <c r="F500">
        <v>95</v>
      </c>
      <c r="G500" s="5" t="s">
        <v>13</v>
      </c>
    </row>
    <row r="501" spans="1:7" x14ac:dyDescent="0.25">
      <c r="A501" s="5" t="s">
        <v>507</v>
      </c>
      <c r="B501" s="5" t="s">
        <v>7</v>
      </c>
      <c r="C501">
        <v>3</v>
      </c>
      <c r="D501">
        <v>1</v>
      </c>
      <c r="E501">
        <v>52176</v>
      </c>
      <c r="F501">
        <v>115</v>
      </c>
      <c r="G501" s="5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E4EE-3A08-489C-8FA4-ECDAE1F02597}">
  <dimension ref="A1:E6"/>
  <sheetViews>
    <sheetView workbookViewId="0">
      <selection activeCell="D12" sqref="D12"/>
    </sheetView>
  </sheetViews>
  <sheetFormatPr defaultRowHeight="15" x14ac:dyDescent="0.25"/>
  <cols>
    <col min="5" max="5" width="17.28515625" customWidth="1"/>
  </cols>
  <sheetData>
    <row r="1" spans="1:5" x14ac:dyDescent="0.25">
      <c r="A1" t="s">
        <v>0</v>
      </c>
      <c r="B1" t="s">
        <v>7</v>
      </c>
      <c r="C1" t="s">
        <v>4</v>
      </c>
      <c r="D1" t="s">
        <v>508</v>
      </c>
      <c r="E1" t="s">
        <v>509</v>
      </c>
    </row>
    <row r="2" spans="1:5" x14ac:dyDescent="0.25">
      <c r="A2" cm="1">
        <f t="array" ref="A2:A6">_xlfn._xlws.SORT(_xlfn.UNIQUE(eu_company_pay_data[grade]))</f>
        <v>1</v>
      </c>
      <c r="B2" cm="1">
        <f t="array" ref="B2:B6">COUNTIFS(eu_company_pay_data[grade],_xlfn.ANCHORARRAY(A2),eu_company_pay_data[gender],"Male")</f>
        <v>60</v>
      </c>
      <c r="C2" cm="1">
        <f t="array" ref="C2:C6">COUNTIFS(eu_company_pay_data[grade],_xlfn.ANCHORARRAY(A2),eu_company_pay_data[gender],"Female")</f>
        <v>53</v>
      </c>
      <c r="D2" cm="1">
        <f t="array" ref="D2:D6">_xlfn.MAP(_xlfn.ANCHORARRAY(B2),_xlfn.ANCHORARRAY(C2),_xlfn.LAMBDA(_xlpm.a,_xlpm.b, MIN(_xlpm.a,_xlpm.b)))</f>
        <v>53</v>
      </c>
      <c r="E2">
        <f>INDEX(_xlfn.ANCHORARRAY(A2), MATCH(MAX(_xlfn.ANCHORARRAY(D2)),_xlfn.ANCHORARRAY( D2), 0))</f>
        <v>2</v>
      </c>
    </row>
    <row r="3" spans="1:5" x14ac:dyDescent="0.25">
      <c r="A3">
        <v>2</v>
      </c>
      <c r="B3">
        <v>102</v>
      </c>
      <c r="C3">
        <v>73</v>
      </c>
      <c r="D3">
        <v>73</v>
      </c>
    </row>
    <row r="4" spans="1:5" x14ac:dyDescent="0.25">
      <c r="A4">
        <v>3</v>
      </c>
      <c r="B4">
        <v>99</v>
      </c>
      <c r="C4">
        <v>58</v>
      </c>
      <c r="D4">
        <v>58</v>
      </c>
    </row>
    <row r="5" spans="1:5" x14ac:dyDescent="0.25">
      <c r="A5">
        <v>4</v>
      </c>
      <c r="B5">
        <v>30</v>
      </c>
      <c r="C5">
        <v>15</v>
      </c>
      <c r="D5">
        <v>15</v>
      </c>
    </row>
    <row r="6" spans="1:5" x14ac:dyDescent="0.25">
      <c r="A6">
        <v>5</v>
      </c>
      <c r="B6">
        <v>5</v>
      </c>
      <c r="C6">
        <v>5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2028-7A38-4F2B-BF57-B04A3D1F6F23}">
  <dimension ref="A1:N502"/>
  <sheetViews>
    <sheetView workbookViewId="0"/>
  </sheetViews>
  <sheetFormatPr defaultRowHeight="15" x14ac:dyDescent="0.25"/>
  <cols>
    <col min="10" max="10" width="19" customWidth="1"/>
  </cols>
  <sheetData>
    <row r="1" spans="1:14" x14ac:dyDescent="0.25">
      <c r="B1" s="2" t="s">
        <v>1</v>
      </c>
      <c r="C1" s="4" t="s">
        <v>0</v>
      </c>
      <c r="D1" s="4"/>
      <c r="E1" s="4"/>
      <c r="F1" s="4"/>
      <c r="G1" s="4" t="s">
        <v>2</v>
      </c>
      <c r="H1" s="4"/>
      <c r="I1" s="4"/>
      <c r="J1" s="2" t="s">
        <v>510</v>
      </c>
      <c r="K1" s="4" t="s">
        <v>511</v>
      </c>
      <c r="L1" s="4"/>
      <c r="M1" s="4"/>
      <c r="N1" s="4"/>
    </row>
    <row r="2" spans="1:14" x14ac:dyDescent="0.25">
      <c r="A2" s="1" t="s">
        <v>541</v>
      </c>
      <c r="B2" s="1" t="s">
        <v>4</v>
      </c>
      <c r="C2" s="1" cm="1">
        <f t="array" ref="C2:F2">TRANSPOSE(_xlfn._xlws.FILTER(
_xlfn._xlws.SORT(_xlfn.UNIQUE(eu_company_pay_data[grade])),
_xlfn._xlws.SORT(_xlfn.UNIQUE(eu_company_pay_data[grade])) &lt;&gt; reference_grade!E2
))</f>
        <v>1</v>
      </c>
      <c r="D2" s="1">
        <v>3</v>
      </c>
      <c r="E2" s="1">
        <v>4</v>
      </c>
      <c r="F2" s="1">
        <v>5</v>
      </c>
      <c r="G2" s="1" t="str" cm="1">
        <f t="array" ref="G2:I2">TRANSPOSE(_xlfn.UNIQUE(eu_company_pay_data[job_family]))</f>
        <v>IT</v>
      </c>
      <c r="H2" s="1" t="str">
        <v>Admin</v>
      </c>
      <c r="I2" s="1" t="str">
        <v>HR</v>
      </c>
      <c r="J2" s="1" t="s">
        <v>549</v>
      </c>
      <c r="K2" s="1" t="str" cm="1">
        <f t="array" ref="K2:N2">B2 &amp; ":" &amp;_xlfn.ANCHORARRAY( C2)</f>
        <v>Female:1</v>
      </c>
      <c r="L2" s="1" t="str">
        <v>Female:3</v>
      </c>
      <c r="M2" s="1" t="str">
        <v>Female:4</v>
      </c>
      <c r="N2" s="1" t="str">
        <v>Female:5</v>
      </c>
    </row>
    <row r="3" spans="1:14" x14ac:dyDescent="0.25">
      <c r="A3" cm="1">
        <f t="array" ref="A3:A502">LN(eu_company_pay_data[total_pay]/eu_company_pay_data[fte])</f>
        <v>10.207215203406376</v>
      </c>
      <c r="B3" cm="1">
        <f t="array" ref="B3:B502">IF(eu_company_pay_data[gender]="Female",1,0)</f>
        <v>0</v>
      </c>
      <c r="C3" cm="1">
        <f t="array" ref="C3:F502">--(eu_company_pay_data[grade]=_xlfn.ANCHORARRAY( C2))</f>
        <v>0</v>
      </c>
      <c r="D3">
        <v>0</v>
      </c>
      <c r="E3">
        <v>0</v>
      </c>
      <c r="F3">
        <v>0</v>
      </c>
      <c r="G3" cm="1">
        <f t="array" ref="G3:I502">--(eu_company_pay_data[job_family]=_xlfn.ANCHORARRAY(G2))</f>
        <v>1</v>
      </c>
      <c r="H3">
        <v>0</v>
      </c>
      <c r="I3">
        <v>0</v>
      </c>
      <c r="J3" cm="1">
        <f t="array" ref="J3:J502">eu_company_pay_data[seniority]</f>
        <v>14</v>
      </c>
      <c r="K3" cm="1">
        <f t="array" ref="K3:N502">_xlfn.ANCHORARRAY(B3) *_xlfn.ANCHORARRAY( C3)</f>
        <v>0</v>
      </c>
      <c r="L3">
        <v>0</v>
      </c>
      <c r="M3">
        <v>0</v>
      </c>
      <c r="N3">
        <v>0</v>
      </c>
    </row>
    <row r="4" spans="1:14" x14ac:dyDescent="0.25">
      <c r="A4">
        <v>9.4897130165568235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110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10.138599199626192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115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11.283134870934225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79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10.111801689604336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36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10.14301613309966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62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9.1053131341084761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31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10.134321457134345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7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10.161921024628786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88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9.4164598322845965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67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10.169690593310785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49</v>
      </c>
      <c r="K13">
        <v>1</v>
      </c>
      <c r="L13">
        <v>0</v>
      </c>
      <c r="M13">
        <v>0</v>
      </c>
      <c r="N13">
        <v>0</v>
      </c>
    </row>
    <row r="14" spans="1:14" x14ac:dyDescent="0.25">
      <c r="A14">
        <v>10.825104077165632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118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10.802591432987462</v>
      </c>
      <c r="B15">
        <v>1</v>
      </c>
      <c r="C15">
        <v>0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56</v>
      </c>
      <c r="K15">
        <v>0</v>
      </c>
      <c r="L15">
        <v>1</v>
      </c>
      <c r="M15">
        <v>0</v>
      </c>
      <c r="N15">
        <v>0</v>
      </c>
    </row>
    <row r="16" spans="1:14" x14ac:dyDescent="0.25">
      <c r="A16">
        <v>10.151986911112646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83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9.324115386235027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89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9.1582046175556542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14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9.3276788643934161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64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9.2656804670093464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95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10.065903976780419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75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10.125830783679568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59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9.0029471307532045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84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10.188591303973109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21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9.0325286306600567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83</v>
      </c>
      <c r="K25">
        <v>0</v>
      </c>
      <c r="L25">
        <v>1</v>
      </c>
      <c r="M25">
        <v>0</v>
      </c>
      <c r="N25">
        <v>0</v>
      </c>
    </row>
    <row r="26" spans="1:14" x14ac:dyDescent="0.25">
      <c r="A26">
        <v>10.220995381885151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53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10.831034692665982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77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10.092908846445306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3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10.821796246953596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24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11.28430443964765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38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10.119364767858293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105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10.120492299890929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10.78462767712726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33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11.280589795287103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89</v>
      </c>
      <c r="K34">
        <v>1</v>
      </c>
      <c r="L34">
        <v>0</v>
      </c>
      <c r="M34">
        <v>0</v>
      </c>
      <c r="N34">
        <v>0</v>
      </c>
    </row>
    <row r="35" spans="1:14" x14ac:dyDescent="0.25">
      <c r="A35">
        <v>9.3402276328106044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107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10.79115244682184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60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10.84885153189599</v>
      </c>
      <c r="B37">
        <v>0</v>
      </c>
      <c r="C37">
        <v>0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28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10.850055275294554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15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9.4287527489144907</v>
      </c>
      <c r="B39">
        <v>1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39</v>
      </c>
      <c r="K39">
        <v>1</v>
      </c>
      <c r="L39">
        <v>0</v>
      </c>
      <c r="M39">
        <v>0</v>
      </c>
      <c r="N39">
        <v>0</v>
      </c>
    </row>
    <row r="40" spans="1:14" x14ac:dyDescent="0.25">
      <c r="A40">
        <v>10.102461354543133</v>
      </c>
      <c r="B40">
        <v>1</v>
      </c>
      <c r="C40">
        <v>0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2</v>
      </c>
      <c r="K40">
        <v>0</v>
      </c>
      <c r="L40">
        <v>1</v>
      </c>
      <c r="M40">
        <v>0</v>
      </c>
      <c r="N40">
        <v>0</v>
      </c>
    </row>
    <row r="41" spans="1:14" x14ac:dyDescent="0.25">
      <c r="A41">
        <v>10.149135959190406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94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10.794070656866477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49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10.116338314364906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102</v>
      </c>
      <c r="K43">
        <v>0</v>
      </c>
      <c r="L43">
        <v>1</v>
      </c>
      <c r="M43">
        <v>0</v>
      </c>
      <c r="N43">
        <v>0</v>
      </c>
    </row>
    <row r="44" spans="1:14" x14ac:dyDescent="0.25">
      <c r="A44">
        <v>10.135511555656276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59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10.164273649274849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98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10.148236027602723</v>
      </c>
      <c r="B46">
        <v>0</v>
      </c>
      <c r="C46">
        <v>0</v>
      </c>
      <c r="D46">
        <v>0</v>
      </c>
      <c r="E46">
        <v>1</v>
      </c>
      <c r="F46">
        <v>0</v>
      </c>
      <c r="G46">
        <v>1</v>
      </c>
      <c r="H46">
        <v>0</v>
      </c>
      <c r="I46">
        <v>0</v>
      </c>
      <c r="J46">
        <v>108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10.092784723066508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47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10.224773632401687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68</v>
      </c>
      <c r="K48">
        <v>1</v>
      </c>
      <c r="L48">
        <v>0</v>
      </c>
      <c r="M48">
        <v>0</v>
      </c>
      <c r="N48">
        <v>0</v>
      </c>
    </row>
    <row r="49" spans="1:14" x14ac:dyDescent="0.25">
      <c r="A49">
        <v>11.298605372203252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54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10.809404663982722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22</v>
      </c>
      <c r="K50">
        <v>1</v>
      </c>
      <c r="L50">
        <v>0</v>
      </c>
      <c r="M50">
        <v>0</v>
      </c>
      <c r="N50">
        <v>0</v>
      </c>
    </row>
    <row r="51" spans="1:14" x14ac:dyDescent="0.25">
      <c r="A51">
        <v>10.833266902590838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26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9.3242938620520288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41</v>
      </c>
      <c r="K52">
        <v>1</v>
      </c>
      <c r="L52">
        <v>0</v>
      </c>
      <c r="M52">
        <v>0</v>
      </c>
      <c r="N52">
        <v>0</v>
      </c>
    </row>
    <row r="53" spans="1:14" x14ac:dyDescent="0.25">
      <c r="A53">
        <v>9.0746351898108077</v>
      </c>
      <c r="B53">
        <v>1</v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>
        <v>0</v>
      </c>
      <c r="J53">
        <v>102</v>
      </c>
      <c r="K53">
        <v>0</v>
      </c>
      <c r="L53">
        <v>0</v>
      </c>
      <c r="M53">
        <v>1</v>
      </c>
      <c r="N53">
        <v>0</v>
      </c>
    </row>
    <row r="54" spans="1:14" x14ac:dyDescent="0.25">
      <c r="A54">
        <v>10.055392856249281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83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10.070230050199568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1</v>
      </c>
      <c r="I55">
        <v>0</v>
      </c>
      <c r="J55">
        <v>65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10.817736200776059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32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10.117267400897372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63</v>
      </c>
      <c r="K57">
        <v>1</v>
      </c>
      <c r="L57">
        <v>0</v>
      </c>
      <c r="M57">
        <v>0</v>
      </c>
      <c r="N57">
        <v>0</v>
      </c>
    </row>
    <row r="58" spans="1:14" x14ac:dyDescent="0.25">
      <c r="A58">
        <v>9.3519267360380542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88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10.845972208492759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60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10.818857860950541</v>
      </c>
      <c r="B60">
        <v>0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67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10.816813894946268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51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10.817896514992265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1</v>
      </c>
      <c r="J62">
        <v>64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9.1553560636434224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5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10.813055738649457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99</v>
      </c>
      <c r="K64">
        <v>1</v>
      </c>
      <c r="L64">
        <v>0</v>
      </c>
      <c r="M64">
        <v>0</v>
      </c>
      <c r="N64">
        <v>0</v>
      </c>
    </row>
    <row r="65" spans="1:14" x14ac:dyDescent="0.25">
      <c r="A65">
        <v>10.82139697362574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58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9.2147307202774762</v>
      </c>
      <c r="B66">
        <v>1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9</v>
      </c>
      <c r="K66">
        <v>1</v>
      </c>
      <c r="L66">
        <v>0</v>
      </c>
      <c r="M66">
        <v>0</v>
      </c>
      <c r="N66">
        <v>0</v>
      </c>
    </row>
    <row r="67" spans="1:14" x14ac:dyDescent="0.25">
      <c r="A67">
        <v>9.0963874919001508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  <c r="J67">
        <v>89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10.853096999603109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61</v>
      </c>
      <c r="K68">
        <v>0</v>
      </c>
      <c r="L68">
        <v>1</v>
      </c>
      <c r="M68">
        <v>0</v>
      </c>
      <c r="N68">
        <v>0</v>
      </c>
    </row>
    <row r="69" spans="1:14" x14ac:dyDescent="0.25">
      <c r="A69">
        <v>9.1066451356374181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54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9.2185069346425763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64</v>
      </c>
      <c r="K70">
        <v>0</v>
      </c>
      <c r="L70">
        <v>1</v>
      </c>
      <c r="M70">
        <v>0</v>
      </c>
      <c r="N70">
        <v>0</v>
      </c>
    </row>
    <row r="71" spans="1:14" x14ac:dyDescent="0.25">
      <c r="A71">
        <v>10.145884560772224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115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10.082052060452371</v>
      </c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5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10.841657186128725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97</v>
      </c>
      <c r="K73">
        <v>0</v>
      </c>
      <c r="L73">
        <v>1</v>
      </c>
      <c r="M73">
        <v>0</v>
      </c>
      <c r="N73">
        <v>0</v>
      </c>
    </row>
    <row r="74" spans="1:14" x14ac:dyDescent="0.25">
      <c r="A74">
        <v>9.2724697434417322</v>
      </c>
      <c r="B74">
        <v>0</v>
      </c>
      <c r="C74">
        <v>1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73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10.110217128582082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15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11.297042988134223</v>
      </c>
      <c r="B76">
        <v>1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18</v>
      </c>
      <c r="K76">
        <v>1</v>
      </c>
      <c r="L76">
        <v>0</v>
      </c>
      <c r="M76">
        <v>0</v>
      </c>
      <c r="N76">
        <v>0</v>
      </c>
    </row>
    <row r="77" spans="1:14" x14ac:dyDescent="0.25">
      <c r="A77">
        <v>10.151401762175549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89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9.4059893889810002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1</v>
      </c>
      <c r="J78">
        <v>94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9.2371770259297428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43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10.811806594754911</v>
      </c>
      <c r="B80">
        <v>1</v>
      </c>
      <c r="C80">
        <v>0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87</v>
      </c>
      <c r="K80">
        <v>0</v>
      </c>
      <c r="L80">
        <v>1</v>
      </c>
      <c r="M80">
        <v>0</v>
      </c>
      <c r="N80">
        <v>0</v>
      </c>
    </row>
    <row r="81" spans="1:14" x14ac:dyDescent="0.25">
      <c r="A81">
        <v>9.258177701390343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7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10.135233992657605</v>
      </c>
      <c r="B82">
        <v>1</v>
      </c>
      <c r="C82">
        <v>0</v>
      </c>
      <c r="D82">
        <v>1</v>
      </c>
      <c r="E82">
        <v>0</v>
      </c>
      <c r="F82">
        <v>0</v>
      </c>
      <c r="G82">
        <v>1</v>
      </c>
      <c r="H82">
        <v>0</v>
      </c>
      <c r="I82">
        <v>0</v>
      </c>
      <c r="J82">
        <v>19</v>
      </c>
      <c r="K82">
        <v>0</v>
      </c>
      <c r="L82">
        <v>1</v>
      </c>
      <c r="M82">
        <v>0</v>
      </c>
      <c r="N82">
        <v>0</v>
      </c>
    </row>
    <row r="83" spans="1:14" x14ac:dyDescent="0.25">
      <c r="A83">
        <v>10.136541829958853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76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10.848793249478808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1</v>
      </c>
      <c r="I84">
        <v>0</v>
      </c>
      <c r="J84">
        <v>41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8.9174447324715143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104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10.056036950996413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>
        <v>96</v>
      </c>
      <c r="K86">
        <v>0</v>
      </c>
      <c r="L86">
        <v>1</v>
      </c>
      <c r="M86">
        <v>0</v>
      </c>
      <c r="N86">
        <v>0</v>
      </c>
    </row>
    <row r="87" spans="1:14" x14ac:dyDescent="0.25">
      <c r="A87">
        <v>10.842009333251605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94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9.2559827298548836</v>
      </c>
      <c r="B88">
        <v>1</v>
      </c>
      <c r="C88">
        <v>1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4</v>
      </c>
      <c r="K88">
        <v>1</v>
      </c>
      <c r="L88">
        <v>0</v>
      </c>
      <c r="M88">
        <v>0</v>
      </c>
      <c r="N88">
        <v>0</v>
      </c>
    </row>
    <row r="89" spans="1:14" x14ac:dyDescent="0.25">
      <c r="A89">
        <v>10.831785903534561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59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10.087224773471245</v>
      </c>
      <c r="B90">
        <v>1</v>
      </c>
      <c r="C90">
        <v>0</v>
      </c>
      <c r="D90">
        <v>1</v>
      </c>
      <c r="E90">
        <v>0</v>
      </c>
      <c r="F90">
        <v>0</v>
      </c>
      <c r="G90">
        <v>0</v>
      </c>
      <c r="H90">
        <v>1</v>
      </c>
      <c r="I90">
        <v>0</v>
      </c>
      <c r="J90">
        <v>103</v>
      </c>
      <c r="K90">
        <v>0</v>
      </c>
      <c r="L90">
        <v>1</v>
      </c>
      <c r="M90">
        <v>0</v>
      </c>
      <c r="N90">
        <v>0</v>
      </c>
    </row>
    <row r="91" spans="1:14" x14ac:dyDescent="0.25">
      <c r="A91">
        <v>9.2392193315265594</v>
      </c>
      <c r="B91">
        <v>0</v>
      </c>
      <c r="C91">
        <v>0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82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10.839522086446879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110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10.796386824952913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1</v>
      </c>
      <c r="I93">
        <v>0</v>
      </c>
      <c r="J93">
        <v>107</v>
      </c>
      <c r="K93">
        <v>0</v>
      </c>
      <c r="L93">
        <v>0</v>
      </c>
      <c r="M93">
        <v>1</v>
      </c>
      <c r="N93">
        <v>0</v>
      </c>
    </row>
    <row r="94" spans="1:14" x14ac:dyDescent="0.25">
      <c r="A94">
        <v>10.179640924163953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53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10.166620752066496</v>
      </c>
      <c r="B95">
        <v>1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69</v>
      </c>
      <c r="K95">
        <v>1</v>
      </c>
      <c r="L95">
        <v>0</v>
      </c>
      <c r="M95">
        <v>0</v>
      </c>
      <c r="N95">
        <v>0</v>
      </c>
    </row>
    <row r="96" spans="1:14" x14ac:dyDescent="0.25">
      <c r="A96">
        <v>10.208174223803733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109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10.224882408848067</v>
      </c>
      <c r="B97">
        <v>1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36</v>
      </c>
      <c r="K97">
        <v>1</v>
      </c>
      <c r="L97">
        <v>0</v>
      </c>
      <c r="M97">
        <v>0</v>
      </c>
      <c r="N97">
        <v>0</v>
      </c>
    </row>
    <row r="98" spans="1:14" x14ac:dyDescent="0.25">
      <c r="A98">
        <v>10.152727608571611</v>
      </c>
      <c r="B98">
        <v>0</v>
      </c>
      <c r="C98">
        <v>0</v>
      </c>
      <c r="D98">
        <v>0</v>
      </c>
      <c r="E98">
        <v>1</v>
      </c>
      <c r="F98">
        <v>0</v>
      </c>
      <c r="G98">
        <v>1</v>
      </c>
      <c r="H98">
        <v>0</v>
      </c>
      <c r="I98">
        <v>0</v>
      </c>
      <c r="J98">
        <v>63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11.303438240103505</v>
      </c>
      <c r="B99">
        <v>0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58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10.148040283087838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41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10.829649404205545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91</v>
      </c>
      <c r="K101">
        <v>1</v>
      </c>
      <c r="L101">
        <v>0</v>
      </c>
      <c r="M101">
        <v>0</v>
      </c>
      <c r="N101">
        <v>0</v>
      </c>
    </row>
    <row r="102" spans="1:14" x14ac:dyDescent="0.25">
      <c r="A102">
        <v>10.213102334987457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46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10.129626612830137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116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11.300610571538332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35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10.075800860133013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66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8.9423301993218658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95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9.1812204734023304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16</v>
      </c>
      <c r="K107">
        <v>0</v>
      </c>
      <c r="L107">
        <v>1</v>
      </c>
      <c r="M107">
        <v>0</v>
      </c>
      <c r="N107">
        <v>0</v>
      </c>
    </row>
    <row r="108" spans="1:14" x14ac:dyDescent="0.25">
      <c r="A108">
        <v>10.83133129068886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98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10.115084699949966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86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10.835336623326135</v>
      </c>
      <c r="B110">
        <v>1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56</v>
      </c>
      <c r="K110">
        <v>0</v>
      </c>
      <c r="L110">
        <v>0</v>
      </c>
      <c r="M110">
        <v>1</v>
      </c>
      <c r="N110">
        <v>0</v>
      </c>
    </row>
    <row r="111" spans="1:14" x14ac:dyDescent="0.25">
      <c r="A111">
        <v>9.0994088112689013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18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10.804156903507327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48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10.795792921659771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103</v>
      </c>
      <c r="K113">
        <v>0</v>
      </c>
      <c r="L113">
        <v>1</v>
      </c>
      <c r="M113">
        <v>0</v>
      </c>
      <c r="N113">
        <v>0</v>
      </c>
    </row>
    <row r="114" spans="1:14" x14ac:dyDescent="0.25">
      <c r="A114">
        <v>10.852284195966542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49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10.16800334695607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112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9.0286985840869853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10.095924443071176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84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11.310980624797013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104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10.167004997988611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1</v>
      </c>
      <c r="J119">
        <v>69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10.822215312443701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31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10.176449310831199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118</v>
      </c>
      <c r="K121">
        <v>0</v>
      </c>
      <c r="L121">
        <v>1</v>
      </c>
      <c r="M121">
        <v>0</v>
      </c>
      <c r="N121">
        <v>0</v>
      </c>
    </row>
    <row r="122" spans="1:14" x14ac:dyDescent="0.25">
      <c r="A122">
        <v>10.087890275533907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113</v>
      </c>
      <c r="K122">
        <v>0</v>
      </c>
      <c r="L122">
        <v>1</v>
      </c>
      <c r="M122">
        <v>0</v>
      </c>
      <c r="N122">
        <v>0</v>
      </c>
    </row>
    <row r="123" spans="1:14" x14ac:dyDescent="0.25">
      <c r="A123">
        <v>10.839698551845414</v>
      </c>
      <c r="B123">
        <v>1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20</v>
      </c>
      <c r="K123">
        <v>0</v>
      </c>
      <c r="L123">
        <v>0</v>
      </c>
      <c r="M123">
        <v>0</v>
      </c>
      <c r="N123">
        <v>1</v>
      </c>
    </row>
    <row r="124" spans="1:14" x14ac:dyDescent="0.25">
      <c r="A124">
        <v>10.089219952452165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48</v>
      </c>
      <c r="K124">
        <v>0</v>
      </c>
      <c r="L124">
        <v>1</v>
      </c>
      <c r="M124">
        <v>0</v>
      </c>
      <c r="N124">
        <v>0</v>
      </c>
    </row>
    <row r="125" spans="1:14" x14ac:dyDescent="0.25">
      <c r="A125">
        <v>10.173400179376332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52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10.071625664813608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29</v>
      </c>
      <c r="K126">
        <v>1</v>
      </c>
      <c r="L126">
        <v>0</v>
      </c>
      <c r="M126">
        <v>0</v>
      </c>
      <c r="N126">
        <v>0</v>
      </c>
    </row>
    <row r="127" spans="1:14" x14ac:dyDescent="0.25">
      <c r="A127">
        <v>10.799473531069919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49</v>
      </c>
      <c r="K127">
        <v>0</v>
      </c>
      <c r="L127">
        <v>0</v>
      </c>
      <c r="M127">
        <v>1</v>
      </c>
      <c r="N127">
        <v>0</v>
      </c>
    </row>
    <row r="128" spans="1:14" x14ac:dyDescent="0.25">
      <c r="A128">
        <v>10.080419612045645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70</v>
      </c>
      <c r="K128">
        <v>1</v>
      </c>
      <c r="L128">
        <v>0</v>
      </c>
      <c r="M128">
        <v>0</v>
      </c>
      <c r="N128">
        <v>0</v>
      </c>
    </row>
    <row r="129" spans="1:14" x14ac:dyDescent="0.25">
      <c r="A129">
        <v>9.3520135302923286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10</v>
      </c>
      <c r="K129">
        <v>0</v>
      </c>
      <c r="L129">
        <v>1</v>
      </c>
      <c r="M129">
        <v>0</v>
      </c>
      <c r="N129">
        <v>0</v>
      </c>
    </row>
    <row r="130" spans="1:14" x14ac:dyDescent="0.25">
      <c r="A130">
        <v>9.2010977906092499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81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9.4600090022297483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24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10.171260241993542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92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8.9275795038434698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77</v>
      </c>
      <c r="K133">
        <v>0</v>
      </c>
      <c r="L133">
        <v>0</v>
      </c>
      <c r="M133">
        <v>1</v>
      </c>
      <c r="N133">
        <v>0</v>
      </c>
    </row>
    <row r="134" spans="1:14" x14ac:dyDescent="0.25">
      <c r="A134">
        <v>10.119485635689466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66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10.17740026090191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62</v>
      </c>
      <c r="K135">
        <v>0</v>
      </c>
      <c r="L135">
        <v>1</v>
      </c>
      <c r="M135">
        <v>0</v>
      </c>
      <c r="N135">
        <v>0</v>
      </c>
    </row>
    <row r="136" spans="1:14" x14ac:dyDescent="0.25">
      <c r="A136">
        <v>10.088887698939681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20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10.850695387045004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24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10.137214897389983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31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10.795915827145608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81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9.2757535105244155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116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9.1612551642856914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26</v>
      </c>
      <c r="K141">
        <v>0</v>
      </c>
      <c r="L141">
        <v>1</v>
      </c>
      <c r="M141">
        <v>0</v>
      </c>
      <c r="N141">
        <v>0</v>
      </c>
    </row>
    <row r="142" spans="1:14" x14ac:dyDescent="0.25">
      <c r="A142">
        <v>10.830005804565719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83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9.3018250620983611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39</v>
      </c>
      <c r="K143">
        <v>1</v>
      </c>
      <c r="L143">
        <v>0</v>
      </c>
      <c r="M143">
        <v>0</v>
      </c>
      <c r="N143">
        <v>0</v>
      </c>
    </row>
    <row r="144" spans="1:14" x14ac:dyDescent="0.25">
      <c r="A144">
        <v>9.0405005926842836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117</v>
      </c>
      <c r="K144">
        <v>1</v>
      </c>
      <c r="L144">
        <v>0</v>
      </c>
      <c r="M144">
        <v>0</v>
      </c>
      <c r="N144">
        <v>0</v>
      </c>
    </row>
    <row r="145" spans="1:14" x14ac:dyDescent="0.25">
      <c r="A145">
        <v>11.26082930264344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75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10.882020420873696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25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10.153389873151029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64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9.3221500470281882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46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10.130025336918353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115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9.1471875569709145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112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10.130384052719645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104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10.127350844774687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40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10.076810408866383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114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11.292079272704703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90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10.840404102203939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27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9.4036018688084724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77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10.814625029169482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74</v>
      </c>
      <c r="K157">
        <v>0</v>
      </c>
      <c r="L157">
        <v>1</v>
      </c>
      <c r="M157">
        <v>0</v>
      </c>
      <c r="N157">
        <v>0</v>
      </c>
    </row>
    <row r="158" spans="1:14" x14ac:dyDescent="0.25">
      <c r="A158">
        <v>11.30189574403953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64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10.856669362994031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117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10.847023733300478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39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10.828817309060954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100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10.862722824735595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83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8.8614918642869149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64</v>
      </c>
      <c r="K163">
        <v>0</v>
      </c>
      <c r="L163">
        <v>1</v>
      </c>
      <c r="M163">
        <v>0</v>
      </c>
      <c r="N163">
        <v>0</v>
      </c>
    </row>
    <row r="164" spans="1:14" x14ac:dyDescent="0.25">
      <c r="A164">
        <v>11.269413376262921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107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11.308873503911538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61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10.857863738015615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104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10.04585479382305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81</v>
      </c>
      <c r="K167">
        <v>0</v>
      </c>
      <c r="L167">
        <v>1</v>
      </c>
      <c r="M167">
        <v>0</v>
      </c>
      <c r="N167">
        <v>0</v>
      </c>
    </row>
    <row r="168" spans="1:14" x14ac:dyDescent="0.25">
      <c r="A168">
        <v>10.03122091904568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117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9.0648520652275764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0</v>
      </c>
      <c r="J169">
        <v>47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9.2699291633878396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34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>
        <v>11.284266732967909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8</v>
      </c>
      <c r="K171">
        <v>1</v>
      </c>
      <c r="L171">
        <v>0</v>
      </c>
      <c r="M171">
        <v>0</v>
      </c>
      <c r="N171">
        <v>0</v>
      </c>
    </row>
    <row r="172" spans="1:14" x14ac:dyDescent="0.25">
      <c r="A172">
        <v>10.138559674715612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99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10.854662686263785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110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9.3118133409068164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85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10.163078744821384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87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10.824288099888111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87</v>
      </c>
      <c r="K176">
        <v>0</v>
      </c>
      <c r="L176">
        <v>1</v>
      </c>
      <c r="M176">
        <v>0</v>
      </c>
      <c r="N176">
        <v>0</v>
      </c>
    </row>
    <row r="177" spans="1:14" x14ac:dyDescent="0.25">
      <c r="A177">
        <v>10.808717337050858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11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9.2571285334749422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46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10.813780332606648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28</v>
      </c>
      <c r="K179">
        <v>0</v>
      </c>
      <c r="L179">
        <v>1</v>
      </c>
      <c r="M179">
        <v>0</v>
      </c>
      <c r="N179">
        <v>0</v>
      </c>
    </row>
    <row r="180" spans="1:14" x14ac:dyDescent="0.25">
      <c r="A180">
        <v>11.285899386391794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85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10.827865494592903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55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11.254232453200062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44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9.2675710054304545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77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9.1800873288051612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15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10.812330619275127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25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9.3003638746237716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85</v>
      </c>
      <c r="K186">
        <v>0</v>
      </c>
      <c r="L186">
        <v>1</v>
      </c>
      <c r="M186">
        <v>0</v>
      </c>
      <c r="N186">
        <v>0</v>
      </c>
    </row>
    <row r="187" spans="1:14" x14ac:dyDescent="0.25">
      <c r="A187">
        <v>10.853773831668242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42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9.2022073887459932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72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9.0234082026245446</v>
      </c>
      <c r="B189">
        <v>1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51</v>
      </c>
      <c r="K189">
        <v>0</v>
      </c>
      <c r="L189">
        <v>0</v>
      </c>
      <c r="M189">
        <v>0</v>
      </c>
      <c r="N189">
        <v>1</v>
      </c>
    </row>
    <row r="190" spans="1:14" x14ac:dyDescent="0.25">
      <c r="A190">
        <v>9.1830719448219895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46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9.1282622609405752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56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9.1631439371452075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69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10.828698381784841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28</v>
      </c>
      <c r="K193">
        <v>1</v>
      </c>
      <c r="L193">
        <v>0</v>
      </c>
      <c r="M193">
        <v>0</v>
      </c>
      <c r="N193">
        <v>0</v>
      </c>
    </row>
    <row r="194" spans="1:14" x14ac:dyDescent="0.25">
      <c r="A194">
        <v>10.817856438847585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>
        <v>10.154090616746489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26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10.118477957093951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6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9.1609400216810553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90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9.1828663949754272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22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10.18986877925486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110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10.833148503348454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61</v>
      </c>
      <c r="K200">
        <v>0</v>
      </c>
      <c r="L200">
        <v>1</v>
      </c>
      <c r="M200">
        <v>0</v>
      </c>
      <c r="N200">
        <v>0</v>
      </c>
    </row>
    <row r="201" spans="1:14" x14ac:dyDescent="0.25">
      <c r="A201">
        <v>10.192156637730536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102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10.823272173664538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90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10.817295204116476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119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10.140928408551162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107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10.128349626344303</v>
      </c>
      <c r="B205">
        <v>1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82</v>
      </c>
      <c r="K205">
        <v>1</v>
      </c>
      <c r="L205">
        <v>0</v>
      </c>
      <c r="M205">
        <v>0</v>
      </c>
      <c r="N205">
        <v>0</v>
      </c>
    </row>
    <row r="206" spans="1:14" x14ac:dyDescent="0.25">
      <c r="A206">
        <v>10.099342123612667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79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10.101272269383447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73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10.813377845229255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11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10.009557816263195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50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>
        <v>10.228284757576837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79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10.041639503918871</v>
      </c>
      <c r="B211">
        <v>1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30</v>
      </c>
      <c r="K211">
        <v>1</v>
      </c>
      <c r="L211">
        <v>0</v>
      </c>
      <c r="M211">
        <v>0</v>
      </c>
      <c r="N211">
        <v>0</v>
      </c>
    </row>
    <row r="212" spans="1:14" x14ac:dyDescent="0.25">
      <c r="A212">
        <v>10.116742371099967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74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11.276658679464603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60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10.815207855895522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119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9.211939093339879</v>
      </c>
      <c r="B215">
        <v>1</v>
      </c>
      <c r="C215">
        <v>0</v>
      </c>
      <c r="D215">
        <v>1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94</v>
      </c>
      <c r="K215">
        <v>0</v>
      </c>
      <c r="L215">
        <v>1</v>
      </c>
      <c r="M215">
        <v>0</v>
      </c>
      <c r="N215">
        <v>0</v>
      </c>
    </row>
    <row r="216" spans="1:14" x14ac:dyDescent="0.25">
      <c r="A216">
        <v>10.188892033243851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49</v>
      </c>
      <c r="K216">
        <v>0</v>
      </c>
      <c r="L216">
        <v>1</v>
      </c>
      <c r="M216">
        <v>0</v>
      </c>
      <c r="N216">
        <v>0</v>
      </c>
    </row>
    <row r="217" spans="1:14" x14ac:dyDescent="0.25">
      <c r="A217">
        <v>9.3105476323932077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111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11.276962596193759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115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10.860670676452575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69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10.843084570640517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20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10.169000700216847</v>
      </c>
      <c r="B221">
        <v>1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111</v>
      </c>
      <c r="K221">
        <v>0</v>
      </c>
      <c r="L221">
        <v>1</v>
      </c>
      <c r="M221">
        <v>0</v>
      </c>
      <c r="N221">
        <v>0</v>
      </c>
    </row>
    <row r="222" spans="1:14" x14ac:dyDescent="0.25">
      <c r="A222">
        <v>10.8312324344554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112</v>
      </c>
      <c r="K222">
        <v>0</v>
      </c>
      <c r="L222">
        <v>1</v>
      </c>
      <c r="M222">
        <v>0</v>
      </c>
      <c r="N222">
        <v>0</v>
      </c>
    </row>
    <row r="223" spans="1:14" x14ac:dyDescent="0.25">
      <c r="A223">
        <v>10.102830093664386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117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10.157199105416755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29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9.1774038717299184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48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10.790452455028454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83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10.859960074043116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36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10.8568428285471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50</v>
      </c>
      <c r="K228">
        <v>0</v>
      </c>
      <c r="L228">
        <v>1</v>
      </c>
      <c r="M228">
        <v>0</v>
      </c>
      <c r="N228">
        <v>0</v>
      </c>
    </row>
    <row r="229" spans="1:14" x14ac:dyDescent="0.25">
      <c r="A229">
        <v>9.3949094013106169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90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9.4353222325640331</v>
      </c>
      <c r="B230">
        <v>1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119</v>
      </c>
      <c r="K230">
        <v>0</v>
      </c>
      <c r="L230">
        <v>1</v>
      </c>
      <c r="M230">
        <v>0</v>
      </c>
      <c r="N230">
        <v>0</v>
      </c>
    </row>
    <row r="231" spans="1:14" x14ac:dyDescent="0.25">
      <c r="A231">
        <v>10.114922828718177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82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9.34984141075374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49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10.810495330811365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23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11.269745008919022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63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>
        <v>10.167964967343314</v>
      </c>
      <c r="B235">
        <v>1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70</v>
      </c>
      <c r="K235">
        <v>0</v>
      </c>
      <c r="L235">
        <v>1</v>
      </c>
      <c r="M235">
        <v>0</v>
      </c>
      <c r="N235">
        <v>0</v>
      </c>
    </row>
    <row r="236" spans="1:14" x14ac:dyDescent="0.25">
      <c r="A236">
        <v>10.136779434902152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67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9.2163224436537305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81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8.9825610922574448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51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10.142425709748979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10.843826787167423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57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9.2589400418122452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70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10.148079435056207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60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8.92172453036431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8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11.279036892119839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64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11.294918697761171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25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10.185088673421907</v>
      </c>
      <c r="B246">
        <v>1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111</v>
      </c>
      <c r="K246">
        <v>0</v>
      </c>
      <c r="L246">
        <v>1</v>
      </c>
      <c r="M246">
        <v>0</v>
      </c>
      <c r="N246">
        <v>0</v>
      </c>
    </row>
    <row r="247" spans="1:14" x14ac:dyDescent="0.25">
      <c r="A247">
        <v>10.100902955277606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34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9.061956366209925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91</v>
      </c>
      <c r="K248">
        <v>1</v>
      </c>
      <c r="L248">
        <v>0</v>
      </c>
      <c r="M248">
        <v>0</v>
      </c>
      <c r="N248">
        <v>0</v>
      </c>
    </row>
    <row r="249" spans="1:14" x14ac:dyDescent="0.25">
      <c r="A249">
        <v>10.153584573410596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110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9.304012847838818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91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9.2133358809559809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90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8.9752507496435729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92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10.110704953300079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50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9.1270674527823612</v>
      </c>
      <c r="B254">
        <v>1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1</v>
      </c>
      <c r="J254">
        <v>20</v>
      </c>
      <c r="K254">
        <v>0</v>
      </c>
      <c r="L254">
        <v>0</v>
      </c>
      <c r="M254">
        <v>1</v>
      </c>
      <c r="N254">
        <v>0</v>
      </c>
    </row>
    <row r="255" spans="1:14" x14ac:dyDescent="0.25">
      <c r="A255">
        <v>10.854701314199513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34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11.281913539027153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23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9.2373717110272135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43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9.1196495066916796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6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9.2734090634431663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7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9.175127616220438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107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10.79162569299069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12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9.0879467237621157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109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11.290681508898855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82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10.156306404160087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108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10.841598482883397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119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10.849880628226726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13</v>
      </c>
      <c r="K266">
        <v>1</v>
      </c>
      <c r="L266">
        <v>0</v>
      </c>
      <c r="M266">
        <v>0</v>
      </c>
      <c r="N266">
        <v>0</v>
      </c>
    </row>
    <row r="267" spans="1:14" x14ac:dyDescent="0.25">
      <c r="A267">
        <v>10.184560331647974</v>
      </c>
      <c r="B267">
        <v>1</v>
      </c>
      <c r="C267">
        <v>0</v>
      </c>
      <c r="D267">
        <v>0</v>
      </c>
      <c r="E267">
        <v>1</v>
      </c>
      <c r="F267">
        <v>0</v>
      </c>
      <c r="G267">
        <v>1</v>
      </c>
      <c r="H267">
        <v>0</v>
      </c>
      <c r="I267">
        <v>0</v>
      </c>
      <c r="J267">
        <v>11</v>
      </c>
      <c r="K267">
        <v>0</v>
      </c>
      <c r="L267">
        <v>0</v>
      </c>
      <c r="M267">
        <v>1</v>
      </c>
      <c r="N267">
        <v>0</v>
      </c>
    </row>
    <row r="268" spans="1:14" x14ac:dyDescent="0.25">
      <c r="A268">
        <v>10.826594997737205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3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10.819618271608917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28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>
        <v>10.089053839494971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51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10.805963295376555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65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9.1492093719719509</v>
      </c>
      <c r="B272">
        <v>0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75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10.13559084522181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18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10.130184782049636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90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>
        <v>10.829510769754663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120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9.2615086585505821</v>
      </c>
      <c r="B276">
        <v>1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98</v>
      </c>
      <c r="K276">
        <v>0</v>
      </c>
      <c r="L276">
        <v>1</v>
      </c>
      <c r="M276">
        <v>0</v>
      </c>
      <c r="N276">
        <v>0</v>
      </c>
    </row>
    <row r="277" spans="1:14" x14ac:dyDescent="0.25">
      <c r="A277">
        <v>9.2636915474731776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55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10.846225454425131</v>
      </c>
      <c r="B278">
        <v>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44</v>
      </c>
      <c r="K278">
        <v>1</v>
      </c>
      <c r="L278">
        <v>0</v>
      </c>
      <c r="M278">
        <v>0</v>
      </c>
      <c r="N278">
        <v>0</v>
      </c>
    </row>
    <row r="279" spans="1:14" x14ac:dyDescent="0.25">
      <c r="A279">
        <v>9.1356168257802466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92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8.9686509033748738</v>
      </c>
      <c r="B280">
        <v>0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46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10.850656604055219</v>
      </c>
      <c r="B281">
        <v>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55</v>
      </c>
      <c r="K281">
        <v>1</v>
      </c>
      <c r="L281">
        <v>0</v>
      </c>
      <c r="M281">
        <v>0</v>
      </c>
      <c r="N281">
        <v>0</v>
      </c>
    </row>
    <row r="282" spans="1:14" x14ac:dyDescent="0.25">
      <c r="A282">
        <v>10.816533024245254</v>
      </c>
      <c r="B282">
        <v>1</v>
      </c>
      <c r="C282">
        <v>0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43</v>
      </c>
      <c r="K282">
        <v>0</v>
      </c>
      <c r="L282">
        <v>1</v>
      </c>
      <c r="M282">
        <v>0</v>
      </c>
      <c r="N282">
        <v>0</v>
      </c>
    </row>
    <row r="283" spans="1:14" x14ac:dyDescent="0.25">
      <c r="A283">
        <v>10.7706090484022</v>
      </c>
      <c r="B283">
        <v>1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14</v>
      </c>
      <c r="K283">
        <v>0</v>
      </c>
      <c r="L283">
        <v>1</v>
      </c>
      <c r="M283">
        <v>0</v>
      </c>
      <c r="N283">
        <v>0</v>
      </c>
    </row>
    <row r="284" spans="1:14" x14ac:dyDescent="0.25">
      <c r="A284">
        <v>10.816994413033667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94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11.299113241084903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79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10.775763698990863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114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10.008072767726203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41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10.027075926780746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42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9.1227106220152088</v>
      </c>
      <c r="B289">
        <v>1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66</v>
      </c>
      <c r="K289">
        <v>0</v>
      </c>
      <c r="L289">
        <v>0</v>
      </c>
      <c r="M289">
        <v>1</v>
      </c>
      <c r="N289">
        <v>0</v>
      </c>
    </row>
    <row r="290" spans="1:14" x14ac:dyDescent="0.25">
      <c r="A290">
        <v>10.177590342447465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10.075632502878522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28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9.1388443702711122</v>
      </c>
      <c r="B292">
        <v>1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21</v>
      </c>
      <c r="K292">
        <v>0</v>
      </c>
      <c r="L292">
        <v>0</v>
      </c>
      <c r="M292">
        <v>0</v>
      </c>
      <c r="N292">
        <v>1</v>
      </c>
    </row>
    <row r="293" spans="1:14" x14ac:dyDescent="0.25">
      <c r="A293">
        <v>10.791337656778433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94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10.822354961923732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26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10.231387437026681</v>
      </c>
      <c r="B295">
        <v>1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76</v>
      </c>
      <c r="K295">
        <v>1</v>
      </c>
      <c r="L295">
        <v>0</v>
      </c>
      <c r="M295">
        <v>0</v>
      </c>
      <c r="N295">
        <v>0</v>
      </c>
    </row>
    <row r="296" spans="1:14" x14ac:dyDescent="0.25">
      <c r="A296">
        <v>10.165505603232393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24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10.802591432987462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33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11.275112339671582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36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>
        <v>11.329086757885566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46</v>
      </c>
      <c r="K299">
        <v>1</v>
      </c>
      <c r="L299">
        <v>0</v>
      </c>
      <c r="M299">
        <v>0</v>
      </c>
      <c r="N299">
        <v>0</v>
      </c>
    </row>
    <row r="300" spans="1:14" x14ac:dyDescent="0.25">
      <c r="A300">
        <v>10.127110988687189</v>
      </c>
      <c r="B300">
        <v>1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71</v>
      </c>
      <c r="K300">
        <v>0</v>
      </c>
      <c r="L300">
        <v>0</v>
      </c>
      <c r="M300">
        <v>1</v>
      </c>
      <c r="N300">
        <v>0</v>
      </c>
    </row>
    <row r="301" spans="1:14" x14ac:dyDescent="0.25">
      <c r="A301">
        <v>10.850443270721076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50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9.3569483916122724</v>
      </c>
      <c r="B302">
        <v>1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92</v>
      </c>
      <c r="K302">
        <v>0</v>
      </c>
      <c r="L302">
        <v>0</v>
      </c>
      <c r="M302">
        <v>1</v>
      </c>
      <c r="N302">
        <v>0</v>
      </c>
    </row>
    <row r="303" spans="1:14" x14ac:dyDescent="0.25">
      <c r="A303">
        <v>10.106020149946213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117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10.103403417731034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90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10.099958532434503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85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11.287291314687705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12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9.2005930205213033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99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9.4019519756772301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117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9.1780237704996388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45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9.0654302001803746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84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10.801410627052098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112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10.201590142315792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92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9.3128969603012752</v>
      </c>
      <c r="B313">
        <v>1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58</v>
      </c>
      <c r="K313">
        <v>0</v>
      </c>
      <c r="L313">
        <v>1</v>
      </c>
      <c r="M313">
        <v>0</v>
      </c>
      <c r="N313">
        <v>0</v>
      </c>
    </row>
    <row r="314" spans="1:14" x14ac:dyDescent="0.25">
      <c r="A314">
        <v>10.100451386066952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76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10.043075566743182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118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10.793105712994448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74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11.917403419335756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37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10.83034228831376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100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9.0804594511216621</v>
      </c>
      <c r="B319">
        <v>0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27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9.1995827153232224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74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9.3658044746002549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35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10.824865323458841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86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11.256457781448521</v>
      </c>
      <c r="B323">
        <v>1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12</v>
      </c>
      <c r="K323">
        <v>0</v>
      </c>
      <c r="L323">
        <v>1</v>
      </c>
      <c r="M323">
        <v>0</v>
      </c>
      <c r="N323">
        <v>0</v>
      </c>
    </row>
    <row r="324" spans="1:14" x14ac:dyDescent="0.25">
      <c r="A324">
        <v>9.1617801813608057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90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9.1701431822247699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100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9.3010034068734253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100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10.840012191241092</v>
      </c>
      <c r="B327">
        <v>1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117</v>
      </c>
      <c r="K327">
        <v>0</v>
      </c>
      <c r="L327">
        <v>1</v>
      </c>
      <c r="M327">
        <v>0</v>
      </c>
      <c r="N327">
        <v>0</v>
      </c>
    </row>
    <row r="328" spans="1:14" x14ac:dyDescent="0.25">
      <c r="A328">
        <v>10.807402013342228</v>
      </c>
      <c r="B328">
        <v>1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11</v>
      </c>
      <c r="K328">
        <v>0</v>
      </c>
      <c r="L328">
        <v>0</v>
      </c>
      <c r="M328">
        <v>1</v>
      </c>
      <c r="N328">
        <v>0</v>
      </c>
    </row>
    <row r="329" spans="1:14" x14ac:dyDescent="0.25">
      <c r="A329">
        <v>10.174849676120813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91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10.831133568448418</v>
      </c>
      <c r="B330">
        <v>1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23</v>
      </c>
      <c r="K330">
        <v>0</v>
      </c>
      <c r="L330">
        <v>1</v>
      </c>
      <c r="M330">
        <v>0</v>
      </c>
      <c r="N330">
        <v>0</v>
      </c>
    </row>
    <row r="331" spans="1:14" x14ac:dyDescent="0.25">
      <c r="A331">
        <v>10.817395447708488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46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10.824088979997368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102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9.3322924827269294</v>
      </c>
      <c r="B333">
        <v>1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79</v>
      </c>
      <c r="K333">
        <v>0</v>
      </c>
      <c r="L333">
        <v>1</v>
      </c>
      <c r="M333">
        <v>0</v>
      </c>
      <c r="N333">
        <v>0</v>
      </c>
    </row>
    <row r="334" spans="1:14" x14ac:dyDescent="0.25">
      <c r="A334">
        <v>10.860920227741458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38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10.817836400172942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108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11.290906281317728</v>
      </c>
      <c r="B336">
        <v>1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66</v>
      </c>
      <c r="K336">
        <v>1</v>
      </c>
      <c r="L336">
        <v>0</v>
      </c>
      <c r="M336">
        <v>0</v>
      </c>
      <c r="N336">
        <v>0</v>
      </c>
    </row>
    <row r="337" spans="1:14" x14ac:dyDescent="0.25">
      <c r="A337">
        <v>11.29990549682687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48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9.2995410174344855</v>
      </c>
      <c r="B338">
        <v>1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1</v>
      </c>
      <c r="J338">
        <v>73</v>
      </c>
      <c r="K338">
        <v>0</v>
      </c>
      <c r="L338">
        <v>0</v>
      </c>
      <c r="M338">
        <v>0</v>
      </c>
      <c r="N338">
        <v>1</v>
      </c>
    </row>
    <row r="339" spans="1:14" x14ac:dyDescent="0.25">
      <c r="A339">
        <v>9.0439315336422776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23</v>
      </c>
      <c r="K339">
        <v>1</v>
      </c>
      <c r="L339">
        <v>0</v>
      </c>
      <c r="M339">
        <v>0</v>
      </c>
      <c r="N339">
        <v>0</v>
      </c>
    </row>
    <row r="340" spans="1:14" x14ac:dyDescent="0.25">
      <c r="A340">
        <v>10.155840330434325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79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10.820877679853584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77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11.284894992082624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30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9.2779990204499967</v>
      </c>
      <c r="B343">
        <v>1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18</v>
      </c>
      <c r="K343">
        <v>1</v>
      </c>
      <c r="L343">
        <v>0</v>
      </c>
      <c r="M343">
        <v>0</v>
      </c>
      <c r="N343">
        <v>0</v>
      </c>
    </row>
    <row r="344" spans="1:14" x14ac:dyDescent="0.25">
      <c r="A344">
        <v>10.137768848260794</v>
      </c>
      <c r="B344">
        <v>1</v>
      </c>
      <c r="C344">
        <v>1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118</v>
      </c>
      <c r="K344">
        <v>1</v>
      </c>
      <c r="L344">
        <v>0</v>
      </c>
      <c r="M344">
        <v>0</v>
      </c>
      <c r="N344">
        <v>0</v>
      </c>
    </row>
    <row r="345" spans="1:14" x14ac:dyDescent="0.25">
      <c r="A345">
        <v>10.800513912228825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113</v>
      </c>
      <c r="K345">
        <v>1</v>
      </c>
      <c r="L345">
        <v>0</v>
      </c>
      <c r="M345">
        <v>0</v>
      </c>
      <c r="N345">
        <v>0</v>
      </c>
    </row>
    <row r="346" spans="1:14" x14ac:dyDescent="0.25">
      <c r="A346">
        <v>9.3561708201877227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115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11.284932675080688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44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10.843631520432442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72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10.040680981712335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42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10.174048898179491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38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10.127750477118255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62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10.778268553453531</v>
      </c>
      <c r="B352">
        <v>1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56</v>
      </c>
      <c r="K352">
        <v>0</v>
      </c>
      <c r="L352">
        <v>1</v>
      </c>
      <c r="M352">
        <v>0</v>
      </c>
      <c r="N352">
        <v>0</v>
      </c>
    </row>
    <row r="353" spans="1:14" x14ac:dyDescent="0.25">
      <c r="A353">
        <v>10.810071323940141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9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9.2446451756681736</v>
      </c>
      <c r="B354">
        <v>1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106</v>
      </c>
      <c r="K354">
        <v>1</v>
      </c>
      <c r="L354">
        <v>0</v>
      </c>
      <c r="M354">
        <v>0</v>
      </c>
      <c r="N354">
        <v>0</v>
      </c>
    </row>
    <row r="355" spans="1:14" x14ac:dyDescent="0.25">
      <c r="A355">
        <v>10.79181081532623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117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10.172827430740044</v>
      </c>
      <c r="B356">
        <v>1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73</v>
      </c>
      <c r="K356">
        <v>1</v>
      </c>
      <c r="L356">
        <v>0</v>
      </c>
      <c r="M356">
        <v>0</v>
      </c>
      <c r="N356">
        <v>0</v>
      </c>
    </row>
    <row r="357" spans="1:14" x14ac:dyDescent="0.25">
      <c r="A357">
        <v>10.805273598207402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38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10.827528176270343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106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9.2604629813793942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37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10.811362974808937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98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9.235715678307411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52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10.1365022236456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23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>
        <v>9.1503780308035001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78</v>
      </c>
      <c r="K363">
        <v>1</v>
      </c>
      <c r="L363">
        <v>0</v>
      </c>
      <c r="M363">
        <v>0</v>
      </c>
      <c r="N363">
        <v>0</v>
      </c>
    </row>
    <row r="364" spans="1:14" x14ac:dyDescent="0.25">
      <c r="A364">
        <v>10.103198696867215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90</v>
      </c>
      <c r="K364">
        <v>1</v>
      </c>
      <c r="L364">
        <v>0</v>
      </c>
      <c r="M364">
        <v>0</v>
      </c>
      <c r="N364">
        <v>0</v>
      </c>
    </row>
    <row r="365" spans="1:14" x14ac:dyDescent="0.25">
      <c r="A365">
        <v>9.3602248215134747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82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11.269375103878357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117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9.3301657650445318</v>
      </c>
      <c r="B367">
        <v>1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33</v>
      </c>
      <c r="K367">
        <v>0</v>
      </c>
      <c r="L367">
        <v>1</v>
      </c>
      <c r="M367">
        <v>0</v>
      </c>
      <c r="N367">
        <v>0</v>
      </c>
    </row>
    <row r="368" spans="1:14" x14ac:dyDescent="0.25">
      <c r="A368">
        <v>10.109973126954195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93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10.858267961190807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>
        <v>10.781847938375149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78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>
        <v>11.287115862898899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95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10.769894522480744</v>
      </c>
      <c r="B372">
        <v>1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7</v>
      </c>
      <c r="K372">
        <v>0</v>
      </c>
      <c r="L372">
        <v>1</v>
      </c>
      <c r="M372">
        <v>0</v>
      </c>
      <c r="N372">
        <v>0</v>
      </c>
    </row>
    <row r="373" spans="1:14" x14ac:dyDescent="0.25">
      <c r="A373">
        <v>9.3716936223339413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100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10.795178167542051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</v>
      </c>
      <c r="J374">
        <v>78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10.814826042276215</v>
      </c>
      <c r="B375">
        <v>1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42</v>
      </c>
      <c r="K375">
        <v>1</v>
      </c>
      <c r="L375">
        <v>0</v>
      </c>
      <c r="M375">
        <v>0</v>
      </c>
      <c r="N375">
        <v>0</v>
      </c>
    </row>
    <row r="376" spans="1:14" x14ac:dyDescent="0.25">
      <c r="A376">
        <v>9.1964442667840718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91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>
        <v>10.150621030590434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85</v>
      </c>
      <c r="K377">
        <v>0</v>
      </c>
      <c r="L377">
        <v>1</v>
      </c>
      <c r="M377">
        <v>0</v>
      </c>
      <c r="N377">
        <v>0</v>
      </c>
    </row>
    <row r="378" spans="1:14" x14ac:dyDescent="0.25">
      <c r="A378">
        <v>9.0298970501940001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71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>
        <v>11.304571999128655</v>
      </c>
      <c r="B379">
        <v>1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94</v>
      </c>
      <c r="K379">
        <v>0</v>
      </c>
      <c r="L379">
        <v>0</v>
      </c>
      <c r="M379">
        <v>1</v>
      </c>
      <c r="N379">
        <v>0</v>
      </c>
    </row>
    <row r="380" spans="1:14" x14ac:dyDescent="0.25">
      <c r="A380">
        <v>10.098643067310169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34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10.105080549819894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6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10.853096999603109</v>
      </c>
      <c r="B382">
        <v>1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48</v>
      </c>
      <c r="K382">
        <v>0</v>
      </c>
      <c r="L382">
        <v>1</v>
      </c>
      <c r="M382">
        <v>0</v>
      </c>
      <c r="N382">
        <v>0</v>
      </c>
    </row>
    <row r="383" spans="1:14" x14ac:dyDescent="0.25">
      <c r="A383">
        <v>10.001249270318624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10.827726612592778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108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>
        <v>10.144078017454058</v>
      </c>
      <c r="B385">
        <v>1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64</v>
      </c>
      <c r="K385">
        <v>1</v>
      </c>
      <c r="L385">
        <v>0</v>
      </c>
      <c r="M385">
        <v>0</v>
      </c>
      <c r="N385">
        <v>0</v>
      </c>
    </row>
    <row r="386" spans="1:14" x14ac:dyDescent="0.25">
      <c r="A386">
        <v>10.799391886753339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57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10.830639091743029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84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10.13946835265183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117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>
        <v>10.152337836193743</v>
      </c>
      <c r="B389">
        <v>1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38</v>
      </c>
      <c r="K389">
        <v>0</v>
      </c>
      <c r="L389">
        <v>1</v>
      </c>
      <c r="M389">
        <v>0</v>
      </c>
      <c r="N389">
        <v>0</v>
      </c>
    </row>
    <row r="390" spans="1:14" x14ac:dyDescent="0.25">
      <c r="A390">
        <v>10.159833744678057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103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10.134678635429639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117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9.3864761696830517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51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10.148079435056207</v>
      </c>
      <c r="B393">
        <v>1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54</v>
      </c>
      <c r="K393">
        <v>0</v>
      </c>
      <c r="L393">
        <v>1</v>
      </c>
      <c r="M393">
        <v>0</v>
      </c>
      <c r="N393">
        <v>0</v>
      </c>
    </row>
    <row r="394" spans="1:14" x14ac:dyDescent="0.25">
      <c r="A394">
        <v>9.2292602568286934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56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9.1216184419153787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74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9.170975648453906</v>
      </c>
      <c r="B396">
        <v>1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105</v>
      </c>
      <c r="K396">
        <v>0</v>
      </c>
      <c r="L396">
        <v>1</v>
      </c>
      <c r="M396">
        <v>0</v>
      </c>
      <c r="N396">
        <v>0</v>
      </c>
    </row>
    <row r="397" spans="1:14" x14ac:dyDescent="0.25">
      <c r="A397">
        <v>10.105693432635459</v>
      </c>
      <c r="B397">
        <v>1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72</v>
      </c>
      <c r="K397">
        <v>1</v>
      </c>
      <c r="L397">
        <v>0</v>
      </c>
      <c r="M397">
        <v>0</v>
      </c>
      <c r="N397">
        <v>0</v>
      </c>
    </row>
    <row r="398" spans="1:14" x14ac:dyDescent="0.25">
      <c r="A398">
        <v>9.2486953258526459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82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10.070653169440881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117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10.817696118205959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110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10.791934211180285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93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>
        <v>10.096790261839317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113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10.084266253072569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11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>
        <v>10.144942423621591</v>
      </c>
      <c r="B404">
        <v>1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93</v>
      </c>
      <c r="K404">
        <v>0</v>
      </c>
      <c r="L404">
        <v>1</v>
      </c>
      <c r="M404">
        <v>0</v>
      </c>
      <c r="N404">
        <v>0</v>
      </c>
    </row>
    <row r="405" spans="1:14" x14ac:dyDescent="0.25">
      <c r="A405">
        <v>9.3085554194731372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5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11.319255760832673</v>
      </c>
      <c r="B406">
        <v>1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81</v>
      </c>
      <c r="K406">
        <v>1</v>
      </c>
      <c r="L406">
        <v>0</v>
      </c>
      <c r="M406">
        <v>0</v>
      </c>
      <c r="N406">
        <v>0</v>
      </c>
    </row>
    <row r="407" spans="1:14" x14ac:dyDescent="0.25">
      <c r="A407">
        <v>10.097737680195356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102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11.913800052744016</v>
      </c>
      <c r="B408">
        <v>1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97</v>
      </c>
      <c r="K408">
        <v>1</v>
      </c>
      <c r="L408">
        <v>0</v>
      </c>
      <c r="M408">
        <v>0</v>
      </c>
      <c r="N408">
        <v>0</v>
      </c>
    </row>
    <row r="409" spans="1:14" x14ac:dyDescent="0.25">
      <c r="A409">
        <v>10.806814618018425</v>
      </c>
      <c r="B409">
        <v>1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94</v>
      </c>
      <c r="K409">
        <v>0</v>
      </c>
      <c r="L409">
        <v>1</v>
      </c>
      <c r="M409">
        <v>0</v>
      </c>
      <c r="N409">
        <v>0</v>
      </c>
    </row>
    <row r="410" spans="1:14" x14ac:dyDescent="0.25">
      <c r="A410">
        <v>11.279895705746931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112</v>
      </c>
      <c r="K410">
        <v>0</v>
      </c>
      <c r="L410">
        <v>0</v>
      </c>
      <c r="M410">
        <v>0</v>
      </c>
      <c r="N410">
        <v>1</v>
      </c>
    </row>
    <row r="411" spans="1:14" x14ac:dyDescent="0.25">
      <c r="A411">
        <v>10.848482352538639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66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>
        <v>10.823292103710079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10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10.819198116145218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83</v>
      </c>
      <c r="K413">
        <v>1</v>
      </c>
      <c r="L413">
        <v>0</v>
      </c>
      <c r="M413">
        <v>0</v>
      </c>
      <c r="N413">
        <v>0</v>
      </c>
    </row>
    <row r="414" spans="1:14" x14ac:dyDescent="0.25">
      <c r="A414">
        <v>10.795751949807428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14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11.290906281317728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18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10.122823865507383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1</v>
      </c>
      <c r="J416">
        <v>74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9.1793655676767525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45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9.380167531188448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50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>
        <v>10.85433428855189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39</v>
      </c>
      <c r="K419">
        <v>0</v>
      </c>
      <c r="L419">
        <v>1</v>
      </c>
      <c r="M419">
        <v>0</v>
      </c>
      <c r="N419">
        <v>0</v>
      </c>
    </row>
    <row r="420" spans="1:14" x14ac:dyDescent="0.25">
      <c r="A420">
        <v>10.147648679072807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18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10.219283208646708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58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10.77392280982383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106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9.4170292852184314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44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9.2169186873363049</v>
      </c>
      <c r="B424">
        <v>1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77</v>
      </c>
      <c r="K424">
        <v>0</v>
      </c>
      <c r="L424">
        <v>1</v>
      </c>
      <c r="M424">
        <v>0</v>
      </c>
      <c r="N424">
        <v>0</v>
      </c>
    </row>
    <row r="425" spans="1:14" x14ac:dyDescent="0.25">
      <c r="A425">
        <v>9.3733941584124807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103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10.055736425073791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53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9.1503780308035001</v>
      </c>
      <c r="B427">
        <v>1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115</v>
      </c>
      <c r="K427">
        <v>0</v>
      </c>
      <c r="L427">
        <v>1</v>
      </c>
      <c r="M427">
        <v>0</v>
      </c>
      <c r="N427">
        <v>0</v>
      </c>
    </row>
    <row r="428" spans="1:14" x14ac:dyDescent="0.25">
      <c r="A428">
        <v>9.0364630619648914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114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10.822913364905755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44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9.259130536145614</v>
      </c>
      <c r="B430">
        <v>1</v>
      </c>
      <c r="C430">
        <v>0</v>
      </c>
      <c r="D430">
        <v>0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61</v>
      </c>
      <c r="K430">
        <v>0</v>
      </c>
      <c r="L430">
        <v>0</v>
      </c>
      <c r="M430">
        <v>1</v>
      </c>
      <c r="N430">
        <v>0</v>
      </c>
    </row>
    <row r="431" spans="1:14" x14ac:dyDescent="0.25">
      <c r="A431">
        <v>11.908427775480849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71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10.811584809381756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111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10.812955059062158</v>
      </c>
      <c r="B433">
        <v>1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56</v>
      </c>
      <c r="K433">
        <v>1</v>
      </c>
      <c r="L433">
        <v>0</v>
      </c>
      <c r="M433">
        <v>0</v>
      </c>
      <c r="N433">
        <v>0</v>
      </c>
    </row>
    <row r="434" spans="1:14" x14ac:dyDescent="0.25">
      <c r="A434">
        <v>9.1501656489401135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119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10.829609796323572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10.780787944718998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114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10.835376005033337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83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10.086850233838494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63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10.183351644059842</v>
      </c>
      <c r="B439">
        <v>1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4</v>
      </c>
      <c r="K439">
        <v>1</v>
      </c>
      <c r="L439">
        <v>0</v>
      </c>
      <c r="M439">
        <v>0</v>
      </c>
      <c r="N439">
        <v>0</v>
      </c>
    </row>
    <row r="440" spans="1:14" x14ac:dyDescent="0.25">
      <c r="A440">
        <v>10.08255381660941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23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9.0600987086456399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49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10.176030606145105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115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>
        <v>9.2908137561260595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69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9.2969766786357297</v>
      </c>
      <c r="B444">
        <v>1</v>
      </c>
      <c r="C444">
        <v>0</v>
      </c>
      <c r="D444">
        <v>1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64</v>
      </c>
      <c r="K444">
        <v>0</v>
      </c>
      <c r="L444">
        <v>1</v>
      </c>
      <c r="M444">
        <v>0</v>
      </c>
      <c r="N444">
        <v>0</v>
      </c>
    </row>
    <row r="445" spans="1:14" x14ac:dyDescent="0.25">
      <c r="A445">
        <v>11.935005117298017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116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9.3425959510966532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22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10.756284550625612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12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>
        <v>10.117509629400777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31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11.260147108526327</v>
      </c>
      <c r="B449">
        <v>1</v>
      </c>
      <c r="C449">
        <v>0</v>
      </c>
      <c r="D449">
        <v>0</v>
      </c>
      <c r="E449">
        <v>1</v>
      </c>
      <c r="F449">
        <v>0</v>
      </c>
      <c r="G449">
        <v>1</v>
      </c>
      <c r="H449">
        <v>0</v>
      </c>
      <c r="I449">
        <v>0</v>
      </c>
      <c r="J449">
        <v>115</v>
      </c>
      <c r="K449">
        <v>0</v>
      </c>
      <c r="L449">
        <v>0</v>
      </c>
      <c r="M449">
        <v>1</v>
      </c>
      <c r="N449">
        <v>0</v>
      </c>
    </row>
    <row r="450" spans="1:14" x14ac:dyDescent="0.25">
      <c r="A450">
        <v>11.294334037003241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72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9.3571211031843777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26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10.801206898824848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111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9.3200016261857019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11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11.290681508898855</v>
      </c>
      <c r="B454">
        <v>1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19</v>
      </c>
      <c r="K454">
        <v>1</v>
      </c>
      <c r="L454">
        <v>0</v>
      </c>
      <c r="M454">
        <v>0</v>
      </c>
      <c r="N454">
        <v>0</v>
      </c>
    </row>
    <row r="455" spans="1:14" x14ac:dyDescent="0.25">
      <c r="A455">
        <v>10.176791757041954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43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10.108018967638357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58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11.935483650504571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63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10.848365741262196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56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>
        <v>11.28578644238053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89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10.101887489959422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86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10.802916927334872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66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10.798370769971397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88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10.802855905214333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28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10.819658277209706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15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10.80879822356712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31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10.812652959467695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85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10.879197474102904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27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9.1991783072699906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59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10.867463075975694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4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9.316770315592029</v>
      </c>
      <c r="B470">
        <v>1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30</v>
      </c>
      <c r="K470">
        <v>0</v>
      </c>
      <c r="L470">
        <v>1</v>
      </c>
      <c r="M470">
        <v>0</v>
      </c>
      <c r="N470">
        <v>0</v>
      </c>
    </row>
    <row r="471" spans="1:14" x14ac:dyDescent="0.25">
      <c r="A471">
        <v>11.265181796787786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94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10.810596258335398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59</v>
      </c>
      <c r="K472">
        <v>1</v>
      </c>
      <c r="L472">
        <v>0</v>
      </c>
      <c r="M472">
        <v>0</v>
      </c>
      <c r="N472">
        <v>0</v>
      </c>
    </row>
    <row r="473" spans="1:14" x14ac:dyDescent="0.25">
      <c r="A473">
        <v>10.200587635966167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34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10.149253281886617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112</v>
      </c>
      <c r="K474">
        <v>1</v>
      </c>
      <c r="L474">
        <v>0</v>
      </c>
      <c r="M474">
        <v>0</v>
      </c>
      <c r="N474">
        <v>0</v>
      </c>
    </row>
    <row r="475" spans="1:14" x14ac:dyDescent="0.25">
      <c r="A475">
        <v>9.1110723703175136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96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10.831706855275558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59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10.813639480450874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11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10.083013538694615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71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10.15681107235147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76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10.076684270997523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111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10.847237797306434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72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10.129825994746858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42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10.797246335903196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95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9.1322707165542596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53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9.1358323198011213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70</v>
      </c>
      <c r="K485">
        <v>1</v>
      </c>
      <c r="L485">
        <v>0</v>
      </c>
      <c r="M485">
        <v>0</v>
      </c>
      <c r="N485">
        <v>0</v>
      </c>
    </row>
    <row r="486" spans="1:14" x14ac:dyDescent="0.25">
      <c r="A486">
        <v>10.801675411712429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43</v>
      </c>
      <c r="K486">
        <v>1</v>
      </c>
      <c r="L486">
        <v>0</v>
      </c>
      <c r="M486">
        <v>0</v>
      </c>
      <c r="N486">
        <v>0</v>
      </c>
    </row>
    <row r="487" spans="1:14" x14ac:dyDescent="0.25">
      <c r="A487">
        <v>10.187989573981278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83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9.3014599653436658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35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10.203258756085228</v>
      </c>
      <c r="B489">
        <v>1</v>
      </c>
      <c r="C489">
        <v>1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19</v>
      </c>
      <c r="K489">
        <v>1</v>
      </c>
      <c r="L489">
        <v>0</v>
      </c>
      <c r="M489">
        <v>0</v>
      </c>
      <c r="N489">
        <v>0</v>
      </c>
    </row>
    <row r="490" spans="1:14" x14ac:dyDescent="0.25">
      <c r="A490">
        <v>11.300734217613963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84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10.853986455740021</v>
      </c>
      <c r="B491">
        <v>1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0</v>
      </c>
      <c r="I491">
        <v>0</v>
      </c>
      <c r="J491">
        <v>53</v>
      </c>
      <c r="K491">
        <v>0</v>
      </c>
      <c r="L491">
        <v>0</v>
      </c>
      <c r="M491">
        <v>1</v>
      </c>
      <c r="N491">
        <v>0</v>
      </c>
    </row>
    <row r="492" spans="1:14" x14ac:dyDescent="0.25">
      <c r="A492">
        <v>9.1668063699524538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66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10.134638955251866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108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10.812209714910331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42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11.315279080554538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47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10.055049169344665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60</v>
      </c>
      <c r="K496">
        <v>1</v>
      </c>
      <c r="L496">
        <v>0</v>
      </c>
      <c r="M496">
        <v>0</v>
      </c>
      <c r="N496">
        <v>0</v>
      </c>
    </row>
    <row r="497" spans="1:14" x14ac:dyDescent="0.25">
      <c r="A497">
        <v>10.78708978978675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45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10.803425300247511</v>
      </c>
      <c r="B498">
        <v>1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109</v>
      </c>
      <c r="K498">
        <v>0</v>
      </c>
      <c r="L498">
        <v>1</v>
      </c>
      <c r="M498">
        <v>0</v>
      </c>
      <c r="N498">
        <v>0</v>
      </c>
    </row>
    <row r="499" spans="1:14" x14ac:dyDescent="0.25">
      <c r="A499">
        <v>9.1771971533829291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28</v>
      </c>
      <c r="K499">
        <v>1</v>
      </c>
      <c r="L499">
        <v>0</v>
      </c>
      <c r="M499">
        <v>0</v>
      </c>
      <c r="N499">
        <v>0</v>
      </c>
    </row>
    <row r="500" spans="1:14" x14ac:dyDescent="0.25">
      <c r="A500">
        <v>9.3024636608519877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79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10.119687049615907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95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10.8623778980291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115</v>
      </c>
      <c r="K502">
        <v>0</v>
      </c>
      <c r="L502">
        <v>0</v>
      </c>
      <c r="M502">
        <v>0</v>
      </c>
      <c r="N502">
        <v>0</v>
      </c>
    </row>
  </sheetData>
  <mergeCells count="3">
    <mergeCell ref="C1:F1"/>
    <mergeCell ref="G1:I1"/>
    <mergeCell ref="K1:N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D7F6-ED07-4CF9-A566-F0DB98403654}">
  <dimension ref="A1:I30"/>
  <sheetViews>
    <sheetView workbookViewId="0">
      <selection activeCell="B1" sqref="B1"/>
    </sheetView>
  </sheetViews>
  <sheetFormatPr defaultRowHeight="15" x14ac:dyDescent="0.25"/>
  <cols>
    <col min="1" max="1" width="17.5703125" bestFit="1" customWidth="1"/>
    <col min="2" max="2" width="12.7109375" bestFit="1" customWidth="1"/>
    <col min="3" max="3" width="14.7109375" bestFit="1" customWidth="1"/>
    <col min="4" max="4" width="12.7109375" bestFit="1" customWidth="1"/>
    <col min="5" max="5" width="12" bestFit="1" customWidth="1"/>
    <col min="6" max="6" width="13.7109375" bestFit="1" customWidth="1"/>
    <col min="7" max="7" width="12" bestFit="1" customWidth="1"/>
    <col min="8" max="9" width="12.85546875" bestFit="1" customWidth="1"/>
  </cols>
  <sheetData>
    <row r="1" spans="1:9" x14ac:dyDescent="0.25">
      <c r="A1" t="s">
        <v>512</v>
      </c>
    </row>
    <row r="2" spans="1:9" ht="15.75" thickBot="1" x14ac:dyDescent="0.3"/>
    <row r="3" spans="1:9" x14ac:dyDescent="0.25">
      <c r="A3" s="9" t="s">
        <v>513</v>
      </c>
      <c r="B3" s="9"/>
    </row>
    <row r="4" spans="1:9" x14ac:dyDescent="0.25">
      <c r="A4" s="6" t="s">
        <v>514</v>
      </c>
      <c r="B4" s="6">
        <v>8.1686961347506123E-2</v>
      </c>
    </row>
    <row r="5" spans="1:9" x14ac:dyDescent="0.25">
      <c r="A5" s="6" t="s">
        <v>515</v>
      </c>
      <c r="B5" s="6">
        <v>6.6727596541889594E-3</v>
      </c>
    </row>
    <row r="6" spans="1:9" x14ac:dyDescent="0.25">
      <c r="A6" s="6" t="s">
        <v>516</v>
      </c>
      <c r="B6" s="6">
        <v>-1.9856864337904949E-2</v>
      </c>
    </row>
    <row r="7" spans="1:9" x14ac:dyDescent="0.25">
      <c r="A7" s="6" t="s">
        <v>517</v>
      </c>
      <c r="B7" s="6">
        <v>0.73600255675158488</v>
      </c>
    </row>
    <row r="8" spans="1:9" ht="15.75" thickBot="1" x14ac:dyDescent="0.3">
      <c r="A8" s="7" t="s">
        <v>518</v>
      </c>
      <c r="B8" s="7">
        <v>500</v>
      </c>
    </row>
    <row r="10" spans="1:9" ht="15.75" thickBot="1" x14ac:dyDescent="0.3">
      <c r="A10" t="s">
        <v>519</v>
      </c>
    </row>
    <row r="11" spans="1:9" x14ac:dyDescent="0.25">
      <c r="A11" s="8"/>
      <c r="B11" s="8" t="s">
        <v>524</v>
      </c>
      <c r="C11" s="8" t="s">
        <v>525</v>
      </c>
      <c r="D11" s="8" t="s">
        <v>526</v>
      </c>
      <c r="E11" s="8" t="s">
        <v>527</v>
      </c>
      <c r="F11" s="8" t="s">
        <v>528</v>
      </c>
    </row>
    <row r="12" spans="1:9" x14ac:dyDescent="0.25">
      <c r="A12" s="6" t="s">
        <v>520</v>
      </c>
      <c r="B12" s="6">
        <v>13</v>
      </c>
      <c r="C12" s="6">
        <v>1.7721510814209296</v>
      </c>
      <c r="D12" s="6">
        <v>0.13631931395545613</v>
      </c>
      <c r="E12" s="6">
        <v>0.27262197018264883</v>
      </c>
      <c r="F12" s="6">
        <v>0.9949575558510857</v>
      </c>
    </row>
    <row r="13" spans="1:9" x14ac:dyDescent="0.25">
      <c r="A13" s="6" t="s">
        <v>521</v>
      </c>
      <c r="B13" s="6">
        <v>487</v>
      </c>
      <c r="C13" s="6">
        <v>263.80778484635164</v>
      </c>
      <c r="D13" s="6">
        <v>0.54169976354486993</v>
      </c>
      <c r="E13" s="6"/>
      <c r="F13" s="6"/>
    </row>
    <row r="14" spans="1:9" ht="15.75" thickBot="1" x14ac:dyDescent="0.3">
      <c r="A14" s="7" t="s">
        <v>522</v>
      </c>
      <c r="B14" s="7">
        <v>500</v>
      </c>
      <c r="C14" s="7">
        <v>265.57993592777257</v>
      </c>
      <c r="D14" s="7"/>
      <c r="E14" s="7"/>
      <c r="F14" s="7"/>
    </row>
    <row r="15" spans="1:9" ht="15.75" thickBot="1" x14ac:dyDescent="0.3"/>
    <row r="16" spans="1:9" x14ac:dyDescent="0.25">
      <c r="A16" s="8"/>
      <c r="B16" s="8" t="s">
        <v>529</v>
      </c>
      <c r="C16" s="8" t="s">
        <v>517</v>
      </c>
      <c r="D16" s="8" t="s">
        <v>530</v>
      </c>
      <c r="E16" s="8" t="s">
        <v>531</v>
      </c>
      <c r="F16" s="8" t="s">
        <v>532</v>
      </c>
      <c r="G16" s="8" t="s">
        <v>533</v>
      </c>
      <c r="H16" s="8" t="s">
        <v>534</v>
      </c>
      <c r="I16" s="8" t="s">
        <v>535</v>
      </c>
    </row>
    <row r="17" spans="1:9" x14ac:dyDescent="0.25">
      <c r="A17" s="6" t="s">
        <v>523</v>
      </c>
      <c r="B17" s="6">
        <v>10.224697970536171</v>
      </c>
      <c r="C17" s="6">
        <v>0.10682521415070835</v>
      </c>
      <c r="D17" s="6">
        <v>95.714275434180081</v>
      </c>
      <c r="E17" s="6">
        <v>0</v>
      </c>
      <c r="F17" s="6">
        <v>10.014802758200725</v>
      </c>
      <c r="G17" s="6">
        <v>10.434593182871618</v>
      </c>
      <c r="H17" s="6">
        <v>10.014802758200725</v>
      </c>
      <c r="I17" s="6">
        <v>10.434593182871618</v>
      </c>
    </row>
    <row r="18" spans="1:9" x14ac:dyDescent="0.25">
      <c r="A18" s="6" t="s">
        <v>4</v>
      </c>
      <c r="B18" s="6">
        <v>4.3424568301070866E-2</v>
      </c>
      <c r="C18" s="6">
        <v>0.11330807003930991</v>
      </c>
      <c r="D18" s="6">
        <v>0.38324338492400056</v>
      </c>
      <c r="E18" s="6">
        <v>0.70170654586323367</v>
      </c>
      <c r="F18" s="6">
        <v>-0.17920846463315632</v>
      </c>
      <c r="G18" s="6">
        <v>0.26605760123529804</v>
      </c>
      <c r="H18" s="6">
        <v>-0.17920846463315632</v>
      </c>
      <c r="I18" s="6">
        <v>0.26605760123529804</v>
      </c>
    </row>
    <row r="19" spans="1:9" x14ac:dyDescent="0.25">
      <c r="A19" s="6">
        <v>1</v>
      </c>
      <c r="B19" s="6">
        <v>-2.0466358097378005E-2</v>
      </c>
      <c r="C19" s="6">
        <v>0.12004011958175143</v>
      </c>
      <c r="D19" s="6">
        <v>-0.17049598224899898</v>
      </c>
      <c r="E19" s="6">
        <v>0.86469090198207665</v>
      </c>
      <c r="F19" s="6">
        <v>-0.25632683905871623</v>
      </c>
      <c r="G19" s="6">
        <v>0.2153941228639602</v>
      </c>
      <c r="H19" s="6">
        <v>-0.25632683905871623</v>
      </c>
      <c r="I19" s="6">
        <v>0.2153941228639602</v>
      </c>
    </row>
    <row r="20" spans="1:9" x14ac:dyDescent="0.25">
      <c r="A20" s="6">
        <v>3</v>
      </c>
      <c r="B20" s="6">
        <v>-4.2016478947267698E-2</v>
      </c>
      <c r="C20" s="6">
        <v>0.10401948504968708</v>
      </c>
      <c r="D20" s="6">
        <v>-0.40392892665444025</v>
      </c>
      <c r="E20" s="6">
        <v>0.68644229608841478</v>
      </c>
      <c r="F20" s="6">
        <v>-0.2463988625924404</v>
      </c>
      <c r="G20" s="6">
        <v>0.16236590469790499</v>
      </c>
      <c r="H20" s="6">
        <v>-0.2463988625924404</v>
      </c>
      <c r="I20" s="6">
        <v>0.16236590469790499</v>
      </c>
    </row>
    <row r="21" spans="1:9" x14ac:dyDescent="0.25">
      <c r="A21" s="6">
        <v>4</v>
      </c>
      <c r="B21" s="6">
        <v>3.4068014275110449E-2</v>
      </c>
      <c r="C21" s="6">
        <v>0.15291322477208452</v>
      </c>
      <c r="D21" s="6">
        <v>0.22279311894630729</v>
      </c>
      <c r="E21" s="6">
        <v>0.82378993460743577</v>
      </c>
      <c r="F21" s="6">
        <v>-0.26638309211962091</v>
      </c>
      <c r="G21" s="6">
        <v>0.33451912066984185</v>
      </c>
      <c r="H21" s="6">
        <v>-0.26638309211962091</v>
      </c>
      <c r="I21" s="6">
        <v>0.33451912066984185</v>
      </c>
    </row>
    <row r="22" spans="1:9" x14ac:dyDescent="0.25">
      <c r="A22" s="6">
        <v>5</v>
      </c>
      <c r="B22" s="6">
        <v>-2.8002860833775796E-2</v>
      </c>
      <c r="C22" s="6">
        <v>0.33867761880401548</v>
      </c>
      <c r="D22" s="6">
        <v>-8.2682938815571316E-2</v>
      </c>
      <c r="E22" s="6">
        <v>0.93413762389560473</v>
      </c>
      <c r="F22" s="6">
        <v>-0.69345259830720762</v>
      </c>
      <c r="G22" s="6">
        <v>0.63744687663965605</v>
      </c>
      <c r="H22" s="6">
        <v>-0.69345259830720762</v>
      </c>
      <c r="I22" s="6">
        <v>0.63744687663965605</v>
      </c>
    </row>
    <row r="23" spans="1:9" x14ac:dyDescent="0.25">
      <c r="A23" s="6" t="s">
        <v>8</v>
      </c>
      <c r="B23" s="6">
        <v>0</v>
      </c>
      <c r="C23" s="6">
        <v>0</v>
      </c>
      <c r="D23" s="6">
        <v>65535</v>
      </c>
      <c r="E23" s="6" t="e">
        <v>#NUM!</v>
      </c>
      <c r="F23" s="6">
        <v>0</v>
      </c>
      <c r="G23" s="6">
        <v>0</v>
      </c>
      <c r="H23" s="6">
        <v>0</v>
      </c>
      <c r="I23" s="6">
        <v>0</v>
      </c>
    </row>
    <row r="24" spans="1:9" x14ac:dyDescent="0.25">
      <c r="A24" s="6" t="s">
        <v>5</v>
      </c>
      <c r="B24" s="6">
        <v>1.7896304156848029E-2</v>
      </c>
      <c r="C24" s="6">
        <v>7.8264204976366269E-2</v>
      </c>
      <c r="D24" s="6">
        <v>0.22866525204277283</v>
      </c>
      <c r="E24" s="6" t="e">
        <v>#NUM!</v>
      </c>
      <c r="F24" s="6">
        <v>-0.13588089210136631</v>
      </c>
      <c r="G24" s="6">
        <v>0.17167350041506238</v>
      </c>
      <c r="H24" s="6">
        <v>-0.13588089210136631</v>
      </c>
      <c r="I24" s="6">
        <v>0.17167350041506238</v>
      </c>
    </row>
    <row r="25" spans="1:9" x14ac:dyDescent="0.25">
      <c r="A25" s="6" t="s">
        <v>13</v>
      </c>
      <c r="B25" s="6">
        <v>3.6004537091390038E-2</v>
      </c>
      <c r="C25" s="6">
        <v>8.5366836024351272E-2</v>
      </c>
      <c r="D25" s="6">
        <v>0.42176258097605468</v>
      </c>
      <c r="E25" s="6">
        <v>0.67338442883228034</v>
      </c>
      <c r="F25" s="6">
        <v>-0.1317282431907788</v>
      </c>
      <c r="G25" s="6">
        <v>0.20373731737355888</v>
      </c>
      <c r="H25" s="6">
        <v>-0.1317282431907788</v>
      </c>
      <c r="I25" s="6">
        <v>0.20373731737355888</v>
      </c>
    </row>
    <row r="26" spans="1:9" x14ac:dyDescent="0.25">
      <c r="A26" s="6" t="s">
        <v>549</v>
      </c>
      <c r="B26" s="6">
        <v>-2.6668868964376717E-4</v>
      </c>
      <c r="C26" s="6">
        <v>9.8825130179959627E-4</v>
      </c>
      <c r="D26" s="6">
        <v>-0.26985918375025625</v>
      </c>
      <c r="E26" s="6">
        <v>0.78738289942895268</v>
      </c>
      <c r="F26" s="6">
        <v>-2.208451395023109E-3</v>
      </c>
      <c r="G26" s="6">
        <v>1.6750740157355749E-3</v>
      </c>
      <c r="H26" s="6">
        <v>-2.208451395023109E-3</v>
      </c>
      <c r="I26" s="6">
        <v>1.6750740157355749E-3</v>
      </c>
    </row>
    <row r="27" spans="1:9" x14ac:dyDescent="0.25">
      <c r="A27" s="6" t="s">
        <v>536</v>
      </c>
      <c r="B27" s="6">
        <v>1.6931868954097585E-2</v>
      </c>
      <c r="C27" s="6">
        <v>0.1796170306371262</v>
      </c>
      <c r="D27" s="6">
        <v>9.4266500754621813E-2</v>
      </c>
      <c r="E27" s="6">
        <v>0.92493623105502532</v>
      </c>
      <c r="F27" s="6">
        <v>-0.33598813297965835</v>
      </c>
      <c r="G27" s="6">
        <v>0.36985187088785354</v>
      </c>
      <c r="H27" s="6">
        <v>-0.33598813297965835</v>
      </c>
      <c r="I27" s="6">
        <v>0.36985187088785354</v>
      </c>
    </row>
    <row r="28" spans="1:9" x14ac:dyDescent="0.25">
      <c r="A28" s="6" t="s">
        <v>537</v>
      </c>
      <c r="B28" s="6">
        <v>-0.10609882095772297</v>
      </c>
      <c r="C28" s="6">
        <v>0.1660666482128394</v>
      </c>
      <c r="D28" s="6">
        <v>-0.63889301132724352</v>
      </c>
      <c r="E28" s="6">
        <v>0.52319289605371133</v>
      </c>
      <c r="F28" s="6">
        <v>-0.43239439326796658</v>
      </c>
      <c r="G28" s="6">
        <v>0.22019675135252062</v>
      </c>
      <c r="H28" s="6">
        <v>-0.43239439326796658</v>
      </c>
      <c r="I28" s="6">
        <v>0.22019675135252062</v>
      </c>
    </row>
    <row r="29" spans="1:9" x14ac:dyDescent="0.25">
      <c r="A29" s="6" t="s">
        <v>538</v>
      </c>
      <c r="B29" s="6">
        <v>-0.17176698178583408</v>
      </c>
      <c r="C29" s="6">
        <v>0.25973420008652748</v>
      </c>
      <c r="D29" s="6">
        <v>-0.66131830821128623</v>
      </c>
      <c r="E29" s="6">
        <v>0.50872094872160312</v>
      </c>
      <c r="F29" s="6">
        <v>-0.68210497185086361</v>
      </c>
      <c r="G29" s="6">
        <v>0.33857100827919551</v>
      </c>
      <c r="H29" s="6">
        <v>-0.68210497185086361</v>
      </c>
      <c r="I29" s="6">
        <v>0.33857100827919551</v>
      </c>
    </row>
    <row r="30" spans="1:9" ht="15.75" thickBot="1" x14ac:dyDescent="0.3">
      <c r="A30" s="7" t="s">
        <v>539</v>
      </c>
      <c r="B30" s="7">
        <v>-0.32346936984925734</v>
      </c>
      <c r="C30" s="7">
        <v>0.47997508222360241</v>
      </c>
      <c r="D30" s="7">
        <v>-0.67392950557080189</v>
      </c>
      <c r="E30" s="7">
        <v>0.50067587125228008</v>
      </c>
      <c r="F30" s="7">
        <v>-1.2665470186983057</v>
      </c>
      <c r="G30" s="7">
        <v>0.61960827899979087</v>
      </c>
      <c r="H30" s="7">
        <v>-1.2665470186983057</v>
      </c>
      <c r="I30" s="7">
        <v>0.61960827899979087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FD16-F453-475B-841D-F05EFEFA70B1}">
  <dimension ref="A1:F6"/>
  <sheetViews>
    <sheetView tabSelected="1" workbookViewId="0">
      <selection activeCell="C17" sqref="C17"/>
    </sheetView>
  </sheetViews>
  <sheetFormatPr defaultRowHeight="15" x14ac:dyDescent="0.25"/>
  <cols>
    <col min="1" max="1" width="10.7109375" customWidth="1"/>
    <col min="2" max="2" width="16.42578125" bestFit="1" customWidth="1"/>
    <col min="4" max="4" width="12.7109375" bestFit="1" customWidth="1"/>
    <col min="6" max="6" width="16.42578125" bestFit="1" customWidth="1"/>
  </cols>
  <sheetData>
    <row r="1" spans="1:6" x14ac:dyDescent="0.25">
      <c r="A1" t="s">
        <v>0</v>
      </c>
      <c r="B1" t="s">
        <v>540</v>
      </c>
    </row>
    <row r="2" spans="1:6" x14ac:dyDescent="0.25">
      <c r="A2">
        <v>2</v>
      </c>
      <c r="B2" s="10">
        <f>(1 - EXP( INDEX(regression!$B:$B, MATCH("Female", regression!$A:$A,0)) ))</f>
        <v>-4.4381211891574956E-2</v>
      </c>
      <c r="F2" s="3"/>
    </row>
    <row r="3" spans="1:6" x14ac:dyDescent="0.25">
      <c r="A3">
        <v>1</v>
      </c>
      <c r="B3" s="10">
        <f>(1 - EXP(
INDEX(regression!$B:$B, MATCH("Female", regression!$A:$A,0))
+ INDEX(regression!$B:$B, MATCH(
"Female:" &amp; $A3, regression!$A:$A,0))
))</f>
        <v>-6.2215092109310977E-2</v>
      </c>
    </row>
    <row r="4" spans="1:6" x14ac:dyDescent="0.25">
      <c r="A4">
        <v>3</v>
      </c>
      <c r="B4" s="10">
        <f>(1 - EXP(
INDEX(regression!$B:$B, MATCH("Female", regression!$A:$A,0))
+ INDEX(regression!$B:$B, MATCH(
"Female:" &amp; $A4, regression!$A:$A,0))
))</f>
        <v>6.0750618147077828E-2</v>
      </c>
    </row>
    <row r="5" spans="1:6" x14ac:dyDescent="0.25">
      <c r="A5">
        <v>4</v>
      </c>
      <c r="B5" s="10">
        <f>(1 - EXP(
INDEX(regression!$B:$B, MATCH("Female", regression!$A:$A,0))
+ INDEX(regression!$B:$B, MATCH(
"Female:" &amp; $A5, regression!$A:$A,0))
))</f>
        <v>0.12044784294279431</v>
      </c>
    </row>
    <row r="6" spans="1:6" x14ac:dyDescent="0.25">
      <c r="A6">
        <v>5</v>
      </c>
      <c r="B6" s="10">
        <f>(1 - EXP(
INDEX(regression!$B:$B, MATCH("Female", regression!$A:$A,0))
+ INDEX(regression!$B:$B, MATCH(
"Female:" &amp; $A6, regression!$A:$A,0))
))</f>
        <v>0.24425011806750074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FAADDD-C3B9-4C4E-8C0E-8E3AD3379E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eu_company_pay_data</vt:lpstr>
      <vt:lpstr>reference_grade</vt:lpstr>
      <vt:lpstr>model_matrix</vt:lpstr>
      <vt:lpstr>regression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Stokholm</dc:creator>
  <cp:lastModifiedBy>Mathias Stokholm</cp:lastModifiedBy>
  <dcterms:created xsi:type="dcterms:W3CDTF">2025-12-01T16:22:07Z</dcterms:created>
  <dcterms:modified xsi:type="dcterms:W3CDTF">2025-12-02T09:43:34Z</dcterms:modified>
</cp:coreProperties>
</file>